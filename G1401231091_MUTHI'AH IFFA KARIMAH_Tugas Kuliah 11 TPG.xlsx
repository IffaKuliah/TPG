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ester 5\TPG\TPG\"/>
    </mc:Choice>
  </mc:AlternateContent>
  <xr:revisionPtr revIDLastSave="0" documentId="13_ncr:1_{68E4E0A0-5F68-454E-8237-BF3CD1115B0C}" xr6:coauthVersionLast="47" xr6:coauthVersionMax="47" xr10:uidLastSave="{00000000-0000-0000-0000-000000000000}"/>
  <bookViews>
    <workbookView xWindow="-108" yWindow="-108" windowWidth="23256" windowHeight="12456" activeTab="1" xr2:uid="{7468E1F3-9D35-481A-AEF7-2F52FE6D006B}"/>
  </bookViews>
  <sheets>
    <sheet name="perhitungan" sheetId="2" r:id="rId1"/>
    <sheet name="hasil dan evaluasi 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L10" i="1"/>
  <c r="K11" i="1"/>
  <c r="L1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F2" i="1"/>
  <c r="B62" i="2"/>
  <c r="G68" i="2"/>
  <c r="C63" i="2"/>
  <c r="K46" i="2"/>
  <c r="K45" i="2"/>
  <c r="K44" i="2"/>
  <c r="L39" i="2" a="1"/>
  <c r="L39" i="2" s="1"/>
  <c r="M24" i="2"/>
  <c r="M22" i="2"/>
  <c r="L24" i="2"/>
  <c r="N24" i="2" s="1"/>
  <c r="L23" i="2"/>
  <c r="L22" i="2"/>
  <c r="N22" i="2" s="1"/>
  <c r="L12" i="2"/>
  <c r="N11" i="2"/>
  <c r="L11" i="2"/>
  <c r="I69" i="2"/>
  <c r="H70" i="2" s="1"/>
  <c r="I68" i="2"/>
  <c r="G70" i="2" s="1"/>
  <c r="H68" i="2"/>
  <c r="G69" i="2" s="1"/>
  <c r="I70" i="2"/>
  <c r="H69" i="2"/>
  <c r="D63" i="2"/>
  <c r="D62" i="2"/>
  <c r="B64" i="2" s="1"/>
  <c r="C62" i="2"/>
  <c r="B63" i="2" s="1"/>
  <c r="D64" i="2"/>
  <c r="G60" i="2"/>
  <c r="M23" i="2" s="1"/>
  <c r="H60" i="2"/>
  <c r="F60" i="2"/>
  <c r="C54" i="2"/>
  <c r="B54" i="2"/>
  <c r="A54" i="2"/>
  <c r="K39" i="2" s="1" a="1"/>
  <c r="K39" i="2" s="1"/>
  <c r="N23" i="2" l="1"/>
  <c r="C64" i="2"/>
  <c r="Q6" i="2" a="1"/>
  <c r="Q6" i="2" s="1"/>
  <c r="Q11" i="2" a="1"/>
  <c r="Q11" i="2" s="1"/>
  <c r="Q16" i="2" l="1" a="1"/>
  <c r="Q16" i="2" s="1"/>
  <c r="V11" i="2" s="1" a="1"/>
  <c r="V11" i="2" s="1"/>
  <c r="L26" i="2" s="1" a="1"/>
  <c r="L26" i="2" l="1"/>
  <c r="O26" i="2" s="1"/>
  <c r="O28" i="2"/>
  <c r="O27" i="2"/>
  <c r="L30" i="2" l="1" a="1"/>
  <c r="L30" i="2" s="1"/>
  <c r="N40" i="2" s="1" a="1"/>
  <c r="N40" i="2" s="1"/>
  <c r="N43" i="2" s="1" a="1"/>
  <c r="N43" i="2" s="1"/>
  <c r="L48" i="2" l="1" a="1"/>
  <c r="L48" i="2" s="1"/>
  <c r="F65" i="1" s="1"/>
  <c r="F7" i="1" l="1"/>
  <c r="F57" i="1"/>
  <c r="F70" i="1"/>
  <c r="F48" i="1"/>
  <c r="F97" i="1"/>
  <c r="F75" i="1"/>
  <c r="F31" i="1"/>
  <c r="F89" i="1"/>
  <c r="F55" i="1"/>
  <c r="F8" i="1"/>
  <c r="F69" i="1"/>
  <c r="F82" i="1"/>
  <c r="F60" i="1"/>
  <c r="F14" i="1"/>
  <c r="F87" i="1"/>
  <c r="F67" i="1"/>
  <c r="F101" i="1"/>
  <c r="F79" i="1"/>
  <c r="F20" i="1"/>
  <c r="F81" i="1"/>
  <c r="F94" i="1"/>
  <c r="F72" i="1"/>
  <c r="F26" i="1"/>
  <c r="F99" i="1"/>
  <c r="F91" i="1"/>
  <c r="F6" i="1"/>
  <c r="F50" i="1"/>
  <c r="F32" i="1"/>
  <c r="F93" i="1"/>
  <c r="F11" i="1"/>
  <c r="F84" i="1"/>
  <c r="F38" i="1"/>
  <c r="F16" i="1"/>
  <c r="F62" i="1"/>
  <c r="F18" i="1"/>
  <c r="F86" i="1"/>
  <c r="F44" i="1"/>
  <c r="F59" i="1"/>
  <c r="F23" i="1"/>
  <c r="F96" i="1"/>
  <c r="F74" i="1"/>
  <c r="F28" i="1"/>
  <c r="F4" i="1"/>
  <c r="F30" i="1"/>
  <c r="F56" i="1"/>
  <c r="F83" i="1"/>
  <c r="F35" i="1"/>
  <c r="F13" i="1"/>
  <c r="F98" i="1"/>
  <c r="F40" i="1"/>
  <c r="F5" i="1"/>
  <c r="F42" i="1"/>
  <c r="F68" i="1"/>
  <c r="F9" i="1"/>
  <c r="F47" i="1"/>
  <c r="F25" i="1"/>
  <c r="F3" i="1"/>
  <c r="F52" i="1"/>
  <c r="F17" i="1"/>
  <c r="F66" i="1"/>
  <c r="F80" i="1"/>
  <c r="F10" i="1"/>
  <c r="F71" i="1"/>
  <c r="F37" i="1"/>
  <c r="F15" i="1"/>
  <c r="F64" i="1"/>
  <c r="F29" i="1"/>
  <c r="F78" i="1"/>
  <c r="F92" i="1"/>
  <c r="F22" i="1"/>
  <c r="F95" i="1"/>
  <c r="F49" i="1"/>
  <c r="F27" i="1"/>
  <c r="F76" i="1"/>
  <c r="F41" i="1"/>
  <c r="F90" i="1"/>
  <c r="F21" i="1"/>
  <c r="F34" i="1"/>
  <c r="F12" i="1"/>
  <c r="F61" i="1"/>
  <c r="F39" i="1"/>
  <c r="F88" i="1"/>
  <c r="F53" i="1"/>
  <c r="F33" i="1"/>
  <c r="F54" i="1"/>
  <c r="F100" i="1"/>
  <c r="F63" i="1"/>
  <c r="F51" i="1"/>
  <c r="F85" i="1"/>
  <c r="F73" i="1"/>
  <c r="F36" i="1"/>
  <c r="F24" i="1"/>
  <c r="F43" i="1"/>
  <c r="F58" i="1"/>
  <c r="F19" i="1"/>
  <c r="F46" i="1"/>
  <c r="F77" i="1"/>
  <c r="F4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<sst xmlns="http://schemas.openxmlformats.org/spreadsheetml/2006/main" count="296" uniqueCount="63">
  <si>
    <t>tanggungan</t>
  </si>
  <si>
    <t>pendapatan</t>
  </si>
  <si>
    <t>Usia</t>
  </si>
  <si>
    <t>Status</t>
  </si>
  <si>
    <t>Bad</t>
  </si>
  <si>
    <t>Good</t>
  </si>
  <si>
    <t xml:space="preserve">BAD </t>
  </si>
  <si>
    <t xml:space="preserve">GOOD </t>
  </si>
  <si>
    <t>S_bad</t>
  </si>
  <si>
    <t>var(X1)</t>
  </si>
  <si>
    <t>Cov(X1,X2)</t>
  </si>
  <si>
    <t>Cov(X1,X3)</t>
  </si>
  <si>
    <t>Cov(X3,X1)</t>
  </si>
  <si>
    <t>Cov(X3,X2)</t>
  </si>
  <si>
    <t>Cov(X2,X1)</t>
  </si>
  <si>
    <t>Cov(X2,X3)</t>
  </si>
  <si>
    <t>var(X2)</t>
  </si>
  <si>
    <t>var(X3)</t>
  </si>
  <si>
    <t>S_good</t>
  </si>
  <si>
    <t>Matriks Ragam-Peragam Kelompok bad</t>
  </si>
  <si>
    <t>Matriks Ragam-Peragam Kelompok good</t>
  </si>
  <si>
    <t>n1(bad)</t>
  </si>
  <si>
    <t>S1(bad)</t>
  </si>
  <si>
    <t>n2(good)</t>
  </si>
  <si>
    <t>S2(good)</t>
  </si>
  <si>
    <t>n1-1</t>
  </si>
  <si>
    <t>n2-1</t>
  </si>
  <si>
    <t>n1+n2-2</t>
  </si>
  <si>
    <t>(n1-1)S1</t>
  </si>
  <si>
    <t>(n2-1)S2</t>
  </si>
  <si>
    <t>S_gab</t>
  </si>
  <si>
    <t xml:space="preserve">Matriks Varian-Kovarian Gabungan </t>
  </si>
  <si>
    <t>S_gab_inv</t>
  </si>
  <si>
    <t>Matriks Varian-Kovarian Gabungan Invers</t>
  </si>
  <si>
    <t>Pendapatan</t>
  </si>
  <si>
    <t xml:space="preserve">Usia </t>
  </si>
  <si>
    <t>Tanggungan</t>
  </si>
  <si>
    <t>a</t>
  </si>
  <si>
    <t>a1</t>
  </si>
  <si>
    <t>a2</t>
  </si>
  <si>
    <t>a3</t>
  </si>
  <si>
    <t>a'</t>
  </si>
  <si>
    <t>1/2a'</t>
  </si>
  <si>
    <t>h</t>
  </si>
  <si>
    <t xml:space="preserve">MODEL AKHIR </t>
  </si>
  <si>
    <t>y = 0.105x1 - 0.323x2 - 0.028x3</t>
  </si>
  <si>
    <t>y = a1x + a2x2 + a3x3</t>
  </si>
  <si>
    <t>y (skor)</t>
  </si>
  <si>
    <t xml:space="preserve">Fisher </t>
  </si>
  <si>
    <t xml:space="preserve">3. MATRIKS RAGAM-PERAGAM GABUNGAN &amp; INVERSNYA </t>
  </si>
  <si>
    <t xml:space="preserve">4. KOEFISIEN MODEL VEKTOR &amp; TANSPOSENYA </t>
  </si>
  <si>
    <t xml:space="preserve">5. NILAI BATAS KLASIFIKASI </t>
  </si>
  <si>
    <t xml:space="preserve">6. MODEL AKHIR </t>
  </si>
  <si>
    <t xml:space="preserve">2. HITUNG RATAAN TIAP VARIABEL DI MASING-MASING KELOMPOK </t>
  </si>
  <si>
    <t>1. PISAHKAN KEDUA KELOMPOK "BAD" DAN "GOOD"</t>
  </si>
  <si>
    <t xml:space="preserve">aktual </t>
  </si>
  <si>
    <t xml:space="preserve">prediksi </t>
  </si>
  <si>
    <t>MANUAL</t>
  </si>
  <si>
    <t>Row Labels</t>
  </si>
  <si>
    <t>Grand Total</t>
  </si>
  <si>
    <t>Column Labels</t>
  </si>
  <si>
    <t>Count of Status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</si>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</sst>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NumberFormat="1" applyFont="1"/>
  </cellXfs>
  <cellStyles count="1">
    <cellStyle name="Normal" xfId="0" builtinId="0"/>
  </cellStyles>
  <dxfs count="61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</xdr:colOff>
      <xdr:row>49</xdr:row>
      <xdr:rowOff>133350</xdr:rowOff>
    </xdr:from>
    <xdr:ext cx="65" cy="34445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055E50-D6A2-815C-C81B-4B5829EE1DA2}"/>
            </a:ext>
          </a:extLst>
        </xdr:cNvPr>
        <xdr:cNvSpPr txBox="1"/>
      </xdr:nvSpPr>
      <xdr:spPr>
        <a:xfrm>
          <a:off x="6629400" y="909447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10</xdr:col>
      <xdr:colOff>53340</xdr:colOff>
      <xdr:row>49</xdr:row>
      <xdr:rowOff>133350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8CE8A7A-65EC-AB2C-F50D-DE6D9E2EBDF5}"/>
            </a:ext>
          </a:extLst>
        </xdr:cNvPr>
        <xdr:cNvSpPr txBox="1"/>
      </xdr:nvSpPr>
      <xdr:spPr>
        <a:xfrm>
          <a:off x="6629400" y="9094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52</xdr:row>
      <xdr:rowOff>3810</xdr:rowOff>
    </xdr:from>
    <xdr:ext cx="235458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B420B7F-EDCD-9DB2-FE69-2A96C68FBC96}"/>
                </a:ext>
              </a:extLst>
            </xdr:cNvPr>
            <xdr:cNvSpPr txBox="1"/>
          </xdr:nvSpPr>
          <xdr:spPr>
            <a:xfrm>
              <a:off x="0" y="951357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</m:oMath>
              </a14:m>
              <a:r>
                <a:rPr lang="en-US" sz="1100"/>
                <a:t> Tanggungan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B420B7F-EDCD-9DB2-FE69-2A96C68FBC96}"/>
                </a:ext>
              </a:extLst>
            </xdr:cNvPr>
            <xdr:cNvSpPr txBox="1"/>
          </xdr:nvSpPr>
          <xdr:spPr>
            <a:xfrm>
              <a:off x="0" y="951357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X ̅</a:t>
              </a:r>
              <a:r>
                <a:rPr lang="en-US" sz="1100"/>
                <a:t> Tanggungan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0</xdr:colOff>
      <xdr:row>58</xdr:row>
      <xdr:rowOff>0</xdr:rowOff>
    </xdr:from>
    <xdr:ext cx="235458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9B9B1F3-A8A7-4DCC-AE7B-11CE1A869D80}"/>
                </a:ext>
              </a:extLst>
            </xdr:cNvPr>
            <xdr:cNvSpPr txBox="1"/>
          </xdr:nvSpPr>
          <xdr:spPr>
            <a:xfrm>
              <a:off x="3535680" y="1060704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</m:oMath>
              </a14:m>
              <a:r>
                <a:rPr lang="en-US" sz="1100"/>
                <a:t> Tanggungan  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9B9B1F3-A8A7-4DCC-AE7B-11CE1A869D80}"/>
                </a:ext>
              </a:extLst>
            </xdr:cNvPr>
            <xdr:cNvSpPr txBox="1"/>
          </xdr:nvSpPr>
          <xdr:spPr>
            <a:xfrm>
              <a:off x="3535680" y="1060704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X ̅</a:t>
              </a:r>
              <a:r>
                <a:rPr lang="en-US" sz="1100"/>
                <a:t> Tanggungan  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twoCellAnchor editAs="oneCell">
    <xdr:from>
      <xdr:col>10</xdr:col>
      <xdr:colOff>146402</xdr:colOff>
      <xdr:row>3</xdr:row>
      <xdr:rowOff>128764</xdr:rowOff>
    </xdr:from>
    <xdr:to>
      <xdr:col>13</xdr:col>
      <xdr:colOff>987171</xdr:colOff>
      <xdr:row>7</xdr:row>
      <xdr:rowOff>8835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220DFA-5495-0A60-CFCA-57E9487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4" y="679097"/>
          <a:ext cx="2844548" cy="613849"/>
        </a:xfrm>
        <a:prstGeom prst="rect">
          <a:avLst/>
        </a:prstGeom>
      </xdr:spPr>
    </xdr:pic>
    <xdr:clientData/>
  </xdr:twoCellAnchor>
  <xdr:twoCellAnchor editAs="oneCell">
    <xdr:from>
      <xdr:col>10</xdr:col>
      <xdr:colOff>220870</xdr:colOff>
      <xdr:row>17</xdr:row>
      <xdr:rowOff>0</xdr:rowOff>
    </xdr:from>
    <xdr:to>
      <xdr:col>13</xdr:col>
      <xdr:colOff>20959</xdr:colOff>
      <xdr:row>19</xdr:row>
      <xdr:rowOff>81786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AE0AF8-3DB7-5899-0C9E-F8BC784A6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0435" y="3191565"/>
          <a:ext cx="1810003" cy="457264"/>
        </a:xfrm>
        <a:prstGeom prst="rect">
          <a:avLst/>
        </a:prstGeom>
      </xdr:spPr>
    </xdr:pic>
    <xdr:clientData/>
  </xdr:twoCellAnchor>
  <xdr:oneCellAnchor>
    <xdr:from>
      <xdr:col>11</xdr:col>
      <xdr:colOff>90114</xdr:colOff>
      <xdr:row>20</xdr:row>
      <xdr:rowOff>5302</xdr:rowOff>
    </xdr:from>
    <xdr:ext cx="3443799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3C20C7B-B3CD-422A-B000-20C769EBC023}"/>
                </a:ext>
              </a:extLst>
            </xdr:cNvPr>
            <xdr:cNvSpPr txBox="1"/>
          </xdr:nvSpPr>
          <xdr:spPr>
            <a:xfrm>
              <a:off x="8394810" y="3760085"/>
              <a:ext cx="3443799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bad</m:t>
                  </m:r>
                </m:oMath>
              </a14:m>
              <a:r>
                <a:rPr lang="en-US" sz="1100"/>
                <a:t>        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good</m:t>
                  </m:r>
                </m:oMath>
              </a14:m>
              <a:r>
                <a:rPr lang="en-US">
                  <a:effectLst/>
                </a:rPr>
                <a:t>       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𝑏𝑎𝑑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good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3C20C7B-B3CD-422A-B000-20C769EBC023}"/>
                </a:ext>
              </a:extLst>
            </xdr:cNvPr>
            <xdr:cNvSpPr txBox="1"/>
          </xdr:nvSpPr>
          <xdr:spPr>
            <a:xfrm>
              <a:off x="8394810" y="3760085"/>
              <a:ext cx="3443799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X ̅bad</a:t>
              </a:r>
              <a:r>
                <a:rPr lang="en-US" sz="1100"/>
                <a:t>        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good</a:t>
              </a:r>
              <a:r>
                <a:rPr lang="en-US">
                  <a:effectLst/>
                </a:rPr>
                <a:t>      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̅𝑏𝑎𝑑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̅good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twoCellAnchor editAs="oneCell">
    <xdr:from>
      <xdr:col>10</xdr:col>
      <xdr:colOff>88347</xdr:colOff>
      <xdr:row>33</xdr:row>
      <xdr:rowOff>1</xdr:rowOff>
    </xdr:from>
    <xdr:to>
      <xdr:col>12</xdr:col>
      <xdr:colOff>294681</xdr:colOff>
      <xdr:row>36</xdr:row>
      <xdr:rowOff>7281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9BFC0E-40A4-041F-A872-4BED50B60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7912" y="6195392"/>
          <a:ext cx="1686160" cy="562053"/>
        </a:xfrm>
        <a:prstGeom prst="rect">
          <a:avLst/>
        </a:prstGeom>
      </xdr:spPr>
    </xdr:pic>
    <xdr:clientData/>
  </xdr:twoCellAnchor>
  <xdr:oneCellAnchor>
    <xdr:from>
      <xdr:col>10</xdr:col>
      <xdr:colOff>77305</xdr:colOff>
      <xdr:row>37</xdr:row>
      <xdr:rowOff>36223</xdr:rowOff>
    </xdr:from>
    <xdr:ext cx="170069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BF189AD-471A-4AA9-A7EE-15020DF33CC9}"/>
                </a:ext>
              </a:extLst>
            </xdr:cNvPr>
            <xdr:cNvSpPr txBox="1"/>
          </xdr:nvSpPr>
          <xdr:spPr>
            <a:xfrm>
              <a:off x="7586870" y="6982571"/>
              <a:ext cx="170069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bad</m:t>
                  </m:r>
                </m:oMath>
              </a14:m>
              <a:r>
                <a:rPr lang="en-US" sz="1100"/>
                <a:t>                  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good</m:t>
                  </m:r>
                </m:oMath>
              </a14:m>
              <a:r>
                <a:rPr lang="en-US">
                  <a:effectLst/>
                </a:rPr>
                <a:t>       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BF189AD-471A-4AA9-A7EE-15020DF33CC9}"/>
                </a:ext>
              </a:extLst>
            </xdr:cNvPr>
            <xdr:cNvSpPr txBox="1"/>
          </xdr:nvSpPr>
          <xdr:spPr>
            <a:xfrm>
              <a:off x="7586870" y="6982571"/>
              <a:ext cx="170069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X ̅bad</a:t>
              </a:r>
              <a:r>
                <a:rPr lang="en-US" sz="1100"/>
                <a:t>                  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good</a:t>
              </a:r>
              <a:r>
                <a:rPr lang="en-US">
                  <a:effectLst/>
                </a:rPr>
                <a:t>       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10</xdr:col>
      <xdr:colOff>1</xdr:colOff>
      <xdr:row>41</xdr:row>
      <xdr:rowOff>180118</xdr:rowOff>
    </xdr:from>
    <xdr:ext cx="101600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B10755C-BC1D-416D-B859-E8D7C137F206}"/>
                </a:ext>
              </a:extLst>
            </xdr:cNvPr>
            <xdr:cNvSpPr txBox="1"/>
          </xdr:nvSpPr>
          <xdr:spPr>
            <a:xfrm>
              <a:off x="7509566" y="7877422"/>
              <a:ext cx="101600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X</m:t>
                        </m:r>
                      </m:e>
                    </m:acc>
                    <m:r>
                      <a:rPr lang="en-US" sz="1100" b="0" i="0">
                        <a:latin typeface="Cambria Math" panose="02040503050406030204" pitchFamily="18" charset="0"/>
                      </a:rPr>
                      <m:t>𝑏𝑎𝑑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</m:e>
                    </m:acc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good</m:t>
                    </m:r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B10755C-BC1D-416D-B859-E8D7C137F206}"/>
                </a:ext>
              </a:extLst>
            </xdr:cNvPr>
            <xdr:cNvSpPr txBox="1"/>
          </xdr:nvSpPr>
          <xdr:spPr>
            <a:xfrm>
              <a:off x="7509566" y="7877422"/>
              <a:ext cx="101600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X ̅𝑏𝑎𝑑+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good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53340</xdr:colOff>
      <xdr:row>1</xdr:row>
      <xdr:rowOff>133350</xdr:rowOff>
    </xdr:from>
    <xdr:ext cx="65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BD802B-6AD8-44CB-8D83-4C503BF978AD}"/>
            </a:ext>
          </a:extLst>
        </xdr:cNvPr>
        <xdr:cNvSpPr txBox="1"/>
      </xdr:nvSpPr>
      <xdr:spPr>
        <a:xfrm>
          <a:off x="7574280" y="909447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8</xdr:col>
      <xdr:colOff>53340</xdr:colOff>
      <xdr:row>1</xdr:row>
      <xdr:rowOff>133350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2CAE56-9256-4D84-95E3-3E64687F47CD}"/>
            </a:ext>
          </a:extLst>
        </xdr:cNvPr>
        <xdr:cNvSpPr txBox="1"/>
      </xdr:nvSpPr>
      <xdr:spPr>
        <a:xfrm>
          <a:off x="7574280" y="9094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THI'AH IFFA" refreshedDate="45977.725046527776" createdVersion="8" refreshedVersion="8" minRefreshableVersion="3" recordCount="100" xr:uid="{19232A13-3D77-4993-B718-53145307F3D7}">
  <cacheSource type="worksheet">
    <worksheetSource ref="B1:F101" sheet="hasil dan evaluasi "/>
  </cacheSource>
  <cacheFields count="5">
    <cacheField name="pendapatan" numFmtId="0">
      <sharedItems containsSemiMixedTypes="0" containsString="0" containsNumber="1" minValue="2.4" maxValue="28"/>
    </cacheField>
    <cacheField name="Usia" numFmtId="0">
      <sharedItems containsSemiMixedTypes="0" containsString="0" containsNumber="1" containsInteger="1" minValue="31" maxValue="61"/>
    </cacheField>
    <cacheField name="Status" numFmtId="0">
      <sharedItems count="2">
        <s v="Bad"/>
        <s v="Good"/>
      </sharedItems>
    </cacheField>
    <cacheField name="y (skor)" numFmtId="0">
      <sharedItems containsSemiMixedTypes="0" containsString="0" containsNumber="1" minValue="-10.591080635480143" maxValue="-1.75468130736509"/>
    </cacheField>
    <cacheField name="Fisher " numFmtId="0">
      <sharedItems count="2">
        <s v="Bad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"/>
    <n v="40"/>
    <x v="0"/>
    <n v="-3.7530621014170071"/>
    <x v="0"/>
  </r>
  <r>
    <n v="9"/>
    <n v="50"/>
    <x v="0"/>
    <n v="-4.2440364558761843"/>
    <x v="1"/>
  </r>
  <r>
    <n v="4.8"/>
    <n v="36"/>
    <x v="0"/>
    <n v="-2.3774436353234454"/>
    <x v="0"/>
  </r>
  <r>
    <n v="4.9000000000000004"/>
    <n v="53"/>
    <x v="0"/>
    <n v="-3.1095141009748013"/>
    <x v="0"/>
  </r>
  <r>
    <n v="4.7"/>
    <n v="35"/>
    <x v="0"/>
    <n v="-2.4216875654995755"/>
    <x v="0"/>
  </r>
  <r>
    <n v="2.4"/>
    <n v="45"/>
    <x v="0"/>
    <n v="-1.75468130736509"/>
    <x v="0"/>
  </r>
  <r>
    <n v="4.5999999999999996"/>
    <n v="38"/>
    <x v="0"/>
    <n v="-2.2649281194526569"/>
    <x v="0"/>
  </r>
  <r>
    <n v="4.9000000000000004"/>
    <n v="57"/>
    <x v="0"/>
    <n v="-3.0138659181330651"/>
    <x v="0"/>
  </r>
  <r>
    <n v="8"/>
    <n v="36"/>
    <x v="0"/>
    <n v="-3.2017960397595426"/>
    <x v="0"/>
  </r>
  <r>
    <n v="8.3000000000000007"/>
    <n v="50"/>
    <x v="0"/>
    <n v="-4.0176164703014647"/>
    <x v="0"/>
  </r>
  <r>
    <n v="8"/>
    <n v="50"/>
    <x v="0"/>
    <n v="-3.7098689468639607"/>
    <x v="0"/>
  </r>
  <r>
    <n v="4.2"/>
    <n v="37"/>
    <x v="0"/>
    <n v="-2.3174901063352191"/>
    <x v="0"/>
  </r>
  <r>
    <n v="3.1"/>
    <n v="56"/>
    <x v="0"/>
    <n v="-2.4028775471035626"/>
    <x v="0"/>
  </r>
  <r>
    <n v="6.8"/>
    <n v="41"/>
    <x v="0"/>
    <n v="-3.1681856347237556"/>
    <x v="0"/>
  </r>
  <r>
    <n v="7.4"/>
    <n v="35"/>
    <x v="0"/>
    <n v="-3.189666602192184"/>
    <x v="0"/>
  </r>
  <r>
    <n v="7"/>
    <n v="35"/>
    <x v="0"/>
    <n v="-3.1656389466736563"/>
    <x v="0"/>
  </r>
  <r>
    <n v="7.8"/>
    <n v="49"/>
    <x v="0"/>
    <n v="-3.8271223581964429"/>
    <x v="0"/>
  </r>
  <r>
    <n v="8.1999999999999993"/>
    <n v="50"/>
    <x v="0"/>
    <n v="-3.9852707580765045"/>
    <x v="0"/>
  </r>
  <r>
    <n v="4.5"/>
    <n v="44"/>
    <x v="0"/>
    <n v="-2.7212412932529642"/>
    <x v="0"/>
  </r>
  <r>
    <n v="8.1"/>
    <n v="40"/>
    <x v="0"/>
    <n v="-3.4545591492867018"/>
    <x v="0"/>
  </r>
  <r>
    <n v="6.6"/>
    <n v="49"/>
    <x v="0"/>
    <n v="-3.3336186181156107"/>
    <x v="0"/>
  </r>
  <r>
    <n v="19.8"/>
    <n v="42"/>
    <x v="0"/>
    <n v="-7.1911833881861567"/>
    <x v="1"/>
  </r>
  <r>
    <n v="7.8"/>
    <n v="35"/>
    <x v="0"/>
    <n v="-3.4244046444733365"/>
    <x v="0"/>
  </r>
  <r>
    <n v="4.5999999999999996"/>
    <n v="47"/>
    <x v="0"/>
    <n v="-2.6291732716559659"/>
    <x v="0"/>
  </r>
  <r>
    <n v="7.4"/>
    <n v="46"/>
    <x v="0"/>
    <n v="-3.7167980497372488"/>
    <x v="0"/>
  </r>
  <r>
    <n v="5.5"/>
    <n v="47"/>
    <x v="0"/>
    <n v="-2.7095742949179824"/>
    <x v="0"/>
  </r>
  <r>
    <n v="16.399999999999999"/>
    <n v="54"/>
    <x v="0"/>
    <n v="-6.5419709776814905"/>
    <x v="1"/>
  </r>
  <r>
    <n v="7.6"/>
    <n v="35"/>
    <x v="0"/>
    <n v="-3.3597132200234161"/>
    <x v="0"/>
  </r>
  <r>
    <n v="4.9000000000000004"/>
    <n v="56"/>
    <x v="0"/>
    <n v="-2.9851003671528433"/>
    <x v="0"/>
  </r>
  <r>
    <n v="4.2"/>
    <n v="56"/>
    <x v="0"/>
    <n v="-2.7586803815781229"/>
    <x v="0"/>
  </r>
  <r>
    <n v="9"/>
    <n v="38"/>
    <x v="0"/>
    <n v="-3.8988498441135224"/>
    <x v="0"/>
  </r>
  <r>
    <n v="9.1999999999999993"/>
    <n v="40"/>
    <x v="0"/>
    <n v="-3.70500679037995"/>
    <x v="0"/>
  </r>
  <r>
    <n v="4.5999999999999996"/>
    <n v="50"/>
    <x v="0"/>
    <n v="-2.3994043444526962"/>
    <x v="0"/>
  </r>
  <r>
    <n v="6.4"/>
    <n v="59"/>
    <x v="0"/>
    <n v="-3.5565827034679094"/>
    <x v="0"/>
  </r>
  <r>
    <n v="6"/>
    <n v="42"/>
    <x v="0"/>
    <n v="-2.9381854879042972"/>
    <x v="0"/>
  </r>
  <r>
    <n v="10.5"/>
    <n v="46"/>
    <x v="0"/>
    <n v="-4.614159935329698"/>
    <x v="1"/>
  </r>
  <r>
    <n v="8.9"/>
    <n v="56"/>
    <x v="0"/>
    <n v="-4.2789288561512446"/>
    <x v="1"/>
  </r>
  <r>
    <n v="12.1"/>
    <n v="43"/>
    <x v="0"/>
    <n v="-4.8346842912257681"/>
    <x v="1"/>
  </r>
  <r>
    <n v="9.5"/>
    <n v="54"/>
    <x v="0"/>
    <n v="-4.2047616407779369"/>
    <x v="1"/>
  </r>
  <r>
    <n v="9.1"/>
    <n v="45"/>
    <x v="0"/>
    <n v="-4.0271992198187236"/>
    <x v="0"/>
  </r>
  <r>
    <n v="7.1"/>
    <n v="55"/>
    <x v="0"/>
    <n v="-3.5625852917404295"/>
    <x v="0"/>
  </r>
  <r>
    <n v="4.0999999999999996"/>
    <n v="51"/>
    <x v="0"/>
    <n v="-2.4771517210707414"/>
    <x v="0"/>
  </r>
  <r>
    <n v="4.4000000000000004"/>
    <n v="42"/>
    <x v="0"/>
    <n v="-2.3152988989236247"/>
    <x v="0"/>
  </r>
  <r>
    <n v="5.2"/>
    <n v="50"/>
    <x v="0"/>
    <n v="-3.0148993913277038"/>
    <x v="0"/>
  </r>
  <r>
    <n v="4.2"/>
    <n v="49"/>
    <x v="0"/>
    <n v="-2.6626767180978819"/>
    <x v="0"/>
  </r>
  <r>
    <n v="6.5"/>
    <n v="50"/>
    <x v="0"/>
    <n v="-3.435393650252184"/>
    <x v="0"/>
  </r>
  <r>
    <n v="6.8"/>
    <n v="47"/>
    <x v="0"/>
    <n v="-3.3407789406050865"/>
    <x v="0"/>
  </r>
  <r>
    <n v="16.7"/>
    <n v="61"/>
    <x v="1"/>
    <n v="-7.0510773579805468"/>
    <x v="1"/>
  </r>
  <r>
    <n v="11.8"/>
    <n v="34"/>
    <x v="1"/>
    <n v="-4.2680468089662682"/>
    <x v="1"/>
  </r>
  <r>
    <n v="10.6"/>
    <n v="31"/>
    <x v="1"/>
    <n v="-4.1096671894700174"/>
    <x v="0"/>
  </r>
  <r>
    <n v="6"/>
    <n v="60"/>
    <x v="1"/>
    <n v="-3.3506102121669787"/>
    <x v="0"/>
  </r>
  <r>
    <n v="13.6"/>
    <n v="47"/>
    <x v="1"/>
    <n v="-5.5402873719023686"/>
    <x v="1"/>
  </r>
  <r>
    <n v="8.5"/>
    <n v="50"/>
    <x v="1"/>
    <n v="-4.1876630881326964"/>
    <x v="1"/>
  </r>
  <r>
    <n v="10.1"/>
    <n v="51"/>
    <x v="1"/>
    <n v="-4.5232496479496547"/>
    <x v="1"/>
  </r>
  <r>
    <n v="14.1"/>
    <n v="51"/>
    <x v="1"/>
    <n v="-6.0277885237106794"/>
    <x v="1"/>
  </r>
  <r>
    <n v="8.4"/>
    <n v="48"/>
    <x v="1"/>
    <n v="-4.0977862739472926"/>
    <x v="0"/>
  </r>
  <r>
    <n v="9.1999999999999993"/>
    <n v="61"/>
    <x v="1"/>
    <n v="-4.519793747727233"/>
    <x v="1"/>
  </r>
  <r>
    <n v="7.7"/>
    <n v="59"/>
    <x v="1"/>
    <n v="-3.9770769623923892"/>
    <x v="0"/>
  </r>
  <r>
    <n v="10.7"/>
    <n v="40"/>
    <x v="1"/>
    <n v="-4.4009028605169744"/>
    <x v="1"/>
  </r>
  <r>
    <n v="12.5"/>
    <n v="47"/>
    <x v="1"/>
    <n v="-5.1844845374278075"/>
    <x v="1"/>
  </r>
  <r>
    <n v="9.1"/>
    <n v="57"/>
    <x v="1"/>
    <n v="-4.3723858315813864"/>
    <x v="1"/>
  </r>
  <r>
    <n v="11.8"/>
    <n v="47"/>
    <x v="1"/>
    <n v="-4.9580645518530879"/>
    <x v="1"/>
  </r>
  <r>
    <n v="11.9"/>
    <n v="43"/>
    <x v="1"/>
    <n v="-4.9807032535384721"/>
    <x v="1"/>
  </r>
  <r>
    <n v="9.4"/>
    <n v="60"/>
    <x v="1"/>
    <n v="-4.6610748145782441"/>
    <x v="1"/>
  </r>
  <r>
    <n v="10.7"/>
    <n v="41"/>
    <x v="1"/>
    <n v="-4.5350236048785089"/>
    <x v="1"/>
  </r>
  <r>
    <n v="15.1"/>
    <n v="58"/>
    <x v="1"/>
    <n v="-6.1311837292965858"/>
    <x v="1"/>
  </r>
  <r>
    <n v="15.9"/>
    <n v="61"/>
    <x v="1"/>
    <n v="-6.5816012734182436"/>
    <x v="1"/>
  </r>
  <r>
    <n v="13.7"/>
    <n v="58"/>
    <x v="1"/>
    <n v="-5.8890541449097693"/>
    <x v="1"/>
  </r>
  <r>
    <n v="12.6"/>
    <n v="52"/>
    <x v="1"/>
    <n v="-5.2553028111725659"/>
    <x v="1"/>
  </r>
  <r>
    <n v="12.1"/>
    <n v="44"/>
    <x v="1"/>
    <n v="-5.0741602289686139"/>
    <x v="1"/>
  </r>
  <r>
    <n v="11.3"/>
    <n v="41"/>
    <x v="1"/>
    <n v="-4.6237426848469569"/>
    <x v="1"/>
  </r>
  <r>
    <n v="12.5"/>
    <n v="54"/>
    <x v="1"/>
    <n v="-5.596553781051985"/>
    <x v="1"/>
  </r>
  <r>
    <n v="11.3"/>
    <n v="41"/>
    <x v="1"/>
    <n v="-4.6237426848469569"/>
    <x v="1"/>
  </r>
  <r>
    <n v="10.5"/>
    <n v="31"/>
    <x v="1"/>
    <n v="-4.1826766706263694"/>
    <x v="1"/>
  </r>
  <r>
    <n v="9.8000000000000007"/>
    <n v="31"/>
    <x v="1"/>
    <n v="-3.8509014916703372"/>
    <x v="0"/>
  </r>
  <r>
    <n v="10.1"/>
    <n v="40"/>
    <x v="1"/>
    <n v="-4.4175389739298376"/>
    <x v="1"/>
  </r>
  <r>
    <n v="4.8"/>
    <n v="61"/>
    <x v="1"/>
    <n v="-2.8858720230663684"/>
    <x v="0"/>
  </r>
  <r>
    <n v="12.9"/>
    <n v="48"/>
    <x v="1"/>
    <n v="-5.4479881306891826"/>
    <x v="1"/>
  </r>
  <r>
    <n v="13.1"/>
    <n v="58"/>
    <x v="1"/>
    <n v="-5.6949798715600091"/>
    <x v="1"/>
  </r>
  <r>
    <n v="7.9"/>
    <n v="55"/>
    <x v="1"/>
    <n v="-4.0320613763027344"/>
    <x v="0"/>
  </r>
  <r>
    <n v="6.5"/>
    <n v="52"/>
    <x v="1"/>
    <n v="-3.4929247522126277"/>
    <x v="0"/>
  </r>
  <r>
    <n v="13.2"/>
    <n v="34"/>
    <x v="1"/>
    <n v="-4.8262419734970203"/>
    <x v="1"/>
  </r>
  <r>
    <n v="6.5"/>
    <n v="39"/>
    <x v="1"/>
    <n v="-3.0136173960884314"/>
    <x v="0"/>
  </r>
  <r>
    <n v="4.7"/>
    <n v="38"/>
    <x v="1"/>
    <n v="-2.6133394118215527"/>
    <x v="0"/>
  </r>
  <r>
    <n v="8"/>
    <n v="47"/>
    <x v="1"/>
    <n v="-3.9396378740672304"/>
    <x v="0"/>
  </r>
  <r>
    <n v="13.9"/>
    <n v="55"/>
    <x v="1"/>
    <n v="-5.7620937230377116"/>
    <x v="1"/>
  </r>
  <r>
    <n v="11.4"/>
    <n v="59"/>
    <x v="1"/>
    <n v="-5.3845787014785342"/>
    <x v="1"/>
  </r>
  <r>
    <n v="9.3000000000000007"/>
    <n v="60"/>
    <x v="1"/>
    <n v="-4.5233739089719718"/>
    <x v="1"/>
  </r>
  <r>
    <n v="16.3"/>
    <n v="35"/>
    <x v="1"/>
    <n v="-6.1737901835949387"/>
    <x v="1"/>
  </r>
  <r>
    <n v="11.3"/>
    <n v="38"/>
    <x v="1"/>
    <n v="-4.3267356451436676"/>
    <x v="1"/>
  </r>
  <r>
    <n v="7.9"/>
    <n v="46"/>
    <x v="1"/>
    <n v="-3.457105837336802"/>
    <x v="0"/>
  </r>
  <r>
    <n v="14"/>
    <n v="40"/>
    <x v="1"/>
    <n v="-5.5736665573219675"/>
    <x v="1"/>
  </r>
  <r>
    <n v="28"/>
    <n v="57"/>
    <x v="1"/>
    <n v="-10.591080635480143"/>
    <x v="1"/>
  </r>
  <r>
    <n v="6.5"/>
    <n v="41"/>
    <x v="1"/>
    <n v="-3.1765036914301872"/>
    <x v="0"/>
  </r>
  <r>
    <n v="9.8000000000000007"/>
    <n v="42"/>
    <x v="1"/>
    <n v="-4.2726777458340903"/>
    <x v="1"/>
  </r>
  <r>
    <n v="14.2"/>
    <n v="55"/>
    <x v="1"/>
    <n v="-6.0698412464752147"/>
    <x v="1"/>
  </r>
  <r>
    <n v="10.7"/>
    <n v="60"/>
    <x v="1"/>
    <n v="-5.0815690735027239"/>
    <x v="1"/>
  </r>
  <r>
    <n v="10"/>
    <n v="59"/>
    <x v="1"/>
    <n v="-4.6156731501851587"/>
    <x v="1"/>
  </r>
  <r>
    <n v="12"/>
    <n v="40"/>
    <x v="1"/>
    <n v="-5.0321075062040785"/>
    <x v="1"/>
  </r>
  <r>
    <n v="23"/>
    <n v="44"/>
    <x v="1"/>
    <n v="-8.599842861489257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96330-BFF4-4F26-B7A7-BEBB569E65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L18" firstHeaderRow="1" firstDataRow="2" firstDataCol="1"/>
  <pivotFields count="5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atus" fld="2" subtotal="count" baseField="0" baseItem="0"/>
  </dataFields>
  <formats count="8"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4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2" type="button" dataOnly="0" labelOnly="1" outline="0" axis="axisRow" fieldPosition="0"/>
    </format>
    <format dxfId="54">
      <pivotArea dataOnly="0" labelOnly="1" grandRow="1" outline="0" fieldPosition="0"/>
    </format>
    <format dxfId="5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C212-1414-41EC-9F09-E2B8F2002984}">
  <dimension ref="A1:X70"/>
  <sheetViews>
    <sheetView topLeftCell="J28" zoomScale="54" zoomScaleNormal="54" workbookViewId="0">
      <selection activeCell="K51" sqref="K51:N51"/>
    </sheetView>
  </sheetViews>
  <sheetFormatPr defaultRowHeight="14.4" x14ac:dyDescent="0.3"/>
  <cols>
    <col min="1" max="1" width="11.109375" style="1" customWidth="1"/>
    <col min="2" max="2" width="12.44140625" style="1" customWidth="1"/>
    <col min="3" max="3" width="10.21875" style="1" customWidth="1"/>
    <col min="4" max="4" width="23" style="1" customWidth="1"/>
    <col min="5" max="5" width="8.88671875" style="1"/>
    <col min="6" max="6" width="12.109375" style="1" customWidth="1"/>
    <col min="7" max="7" width="13.33203125" style="1" customWidth="1"/>
    <col min="8" max="8" width="10.88671875" style="1" customWidth="1"/>
    <col min="9" max="9" width="9.6640625" style="1" customWidth="1"/>
    <col min="10" max="10" width="8.88671875" style="1" customWidth="1"/>
    <col min="11" max="11" width="11.5546875" style="1" customWidth="1"/>
    <col min="12" max="12" width="10" style="1" customWidth="1"/>
    <col min="13" max="13" width="7.6640625" style="1" customWidth="1"/>
    <col min="14" max="14" width="14.77734375" style="1" customWidth="1"/>
    <col min="15" max="15" width="8.88671875" style="1"/>
    <col min="16" max="16" width="11.33203125" style="1" customWidth="1"/>
    <col min="17" max="16384" width="8.88671875" style="1"/>
  </cols>
  <sheetData>
    <row r="1" spans="1:24" x14ac:dyDescent="0.3">
      <c r="A1" s="15" t="s">
        <v>54</v>
      </c>
      <c r="B1" s="16"/>
      <c r="C1" s="16"/>
      <c r="D1" s="16"/>
    </row>
    <row r="2" spans="1:24" x14ac:dyDescent="0.3">
      <c r="A2" s="21" t="s">
        <v>6</v>
      </c>
      <c r="B2" s="21"/>
      <c r="C2" s="21"/>
      <c r="D2" s="21"/>
      <c r="E2" s="6"/>
      <c r="F2" s="22" t="s">
        <v>7</v>
      </c>
      <c r="G2" s="22"/>
      <c r="H2" s="22"/>
      <c r="I2" s="22"/>
    </row>
    <row r="3" spans="1:24" x14ac:dyDescent="0.3">
      <c r="K3" s="15" t="s">
        <v>49</v>
      </c>
      <c r="L3" s="16"/>
      <c r="M3" s="16"/>
      <c r="N3" s="16"/>
      <c r="O3" s="16"/>
    </row>
    <row r="4" spans="1:24" x14ac:dyDescent="0.3">
      <c r="A4" s="3" t="s">
        <v>0</v>
      </c>
      <c r="B4" s="3" t="s">
        <v>1</v>
      </c>
      <c r="C4" s="4" t="s">
        <v>2</v>
      </c>
      <c r="D4" s="3" t="s">
        <v>3</v>
      </c>
      <c r="F4" s="3" t="s">
        <v>0</v>
      </c>
      <c r="G4" s="3" t="s">
        <v>1</v>
      </c>
      <c r="H4" s="4" t="s">
        <v>2</v>
      </c>
      <c r="I4" s="3" t="s">
        <v>3</v>
      </c>
    </row>
    <row r="5" spans="1:24" x14ac:dyDescent="0.3">
      <c r="A5" s="2">
        <v>6</v>
      </c>
      <c r="B5" s="2">
        <v>10</v>
      </c>
      <c r="C5" s="5">
        <v>40</v>
      </c>
      <c r="D5" s="2" t="s">
        <v>4</v>
      </c>
      <c r="F5" s="2">
        <v>1</v>
      </c>
      <c r="G5" s="2">
        <v>16.7</v>
      </c>
      <c r="H5" s="5">
        <v>61</v>
      </c>
      <c r="I5" s="2" t="s">
        <v>5</v>
      </c>
      <c r="P5" s="31" t="s">
        <v>28</v>
      </c>
      <c r="Q5" s="31"/>
      <c r="R5" s="31"/>
      <c r="S5" s="31"/>
    </row>
    <row r="6" spans="1:24" x14ac:dyDescent="0.3">
      <c r="A6" s="2">
        <v>1</v>
      </c>
      <c r="B6" s="2">
        <v>9</v>
      </c>
      <c r="C6" s="5">
        <v>50</v>
      </c>
      <c r="D6" s="2" t="s">
        <v>4</v>
      </c>
      <c r="F6" s="2">
        <v>5</v>
      </c>
      <c r="G6" s="2">
        <v>11.8</v>
      </c>
      <c r="H6" s="5">
        <v>34</v>
      </c>
      <c r="I6" s="2" t="s">
        <v>5</v>
      </c>
      <c r="Q6" s="1" cm="1">
        <f t="array" ref="Q6:S8">(B62:D64)*L11</f>
        <v>79.2340425531915</v>
      </c>
      <c r="R6" s="1">
        <v>48.621276595744661</v>
      </c>
      <c r="S6" s="1">
        <v>-4.8723404255319132</v>
      </c>
    </row>
    <row r="7" spans="1:24" x14ac:dyDescent="0.3">
      <c r="A7" s="2">
        <v>2</v>
      </c>
      <c r="B7" s="2">
        <v>4.8</v>
      </c>
      <c r="C7" s="5">
        <v>36</v>
      </c>
      <c r="D7" s="2" t="s">
        <v>4</v>
      </c>
      <c r="F7" s="2">
        <v>2</v>
      </c>
      <c r="G7" s="2">
        <v>10.6</v>
      </c>
      <c r="H7" s="5">
        <v>31</v>
      </c>
      <c r="I7" s="2" t="s">
        <v>5</v>
      </c>
      <c r="P7" s="1" t="s">
        <v>22</v>
      </c>
      <c r="Q7" s="1">
        <v>48.621276595744661</v>
      </c>
      <c r="R7" s="1">
        <v>463.37829787233841</v>
      </c>
      <c r="S7" s="1">
        <v>-76.470212765957456</v>
      </c>
    </row>
    <row r="8" spans="1:24" x14ac:dyDescent="0.3">
      <c r="A8" s="2">
        <v>0</v>
      </c>
      <c r="B8" s="2">
        <v>4.9000000000000004</v>
      </c>
      <c r="C8" s="5">
        <v>53</v>
      </c>
      <c r="D8" s="2" t="s">
        <v>4</v>
      </c>
      <c r="F8" s="2">
        <v>3</v>
      </c>
      <c r="G8" s="2">
        <v>6</v>
      </c>
      <c r="H8" s="5">
        <v>60</v>
      </c>
      <c r="I8" s="2" t="s">
        <v>5</v>
      </c>
      <c r="Q8" s="1">
        <v>-4.8723404255319132</v>
      </c>
      <c r="R8" s="1">
        <v>-4.8723404255319132</v>
      </c>
      <c r="S8" s="1">
        <v>2324.9787234042597</v>
      </c>
    </row>
    <row r="9" spans="1:24" x14ac:dyDescent="0.3">
      <c r="A9" s="2">
        <v>1</v>
      </c>
      <c r="B9" s="2">
        <v>4.7</v>
      </c>
      <c r="C9" s="5">
        <v>35</v>
      </c>
      <c r="D9" s="2" t="s">
        <v>4</v>
      </c>
      <c r="F9" s="2">
        <v>2</v>
      </c>
      <c r="G9" s="2">
        <v>13.6</v>
      </c>
      <c r="H9" s="5">
        <v>47</v>
      </c>
      <c r="I9" s="2" t="s">
        <v>5</v>
      </c>
    </row>
    <row r="10" spans="1:24" x14ac:dyDescent="0.3">
      <c r="A10" s="2">
        <v>3</v>
      </c>
      <c r="B10" s="2">
        <v>2.4</v>
      </c>
      <c r="C10" s="5">
        <v>45</v>
      </c>
      <c r="D10" s="2" t="s">
        <v>4</v>
      </c>
      <c r="F10" s="2">
        <v>0</v>
      </c>
      <c r="G10" s="2">
        <v>8.5</v>
      </c>
      <c r="H10" s="5">
        <v>50</v>
      </c>
      <c r="I10" s="2" t="s">
        <v>5</v>
      </c>
      <c r="K10" s="6" t="s">
        <v>21</v>
      </c>
      <c r="L10" s="1">
        <v>47</v>
      </c>
      <c r="M10" s="6" t="s">
        <v>23</v>
      </c>
      <c r="N10" s="1">
        <v>53</v>
      </c>
      <c r="P10" s="22" t="s">
        <v>29</v>
      </c>
      <c r="Q10" s="22"/>
      <c r="R10" s="22"/>
      <c r="S10" s="22"/>
      <c r="U10" s="20" t="s">
        <v>33</v>
      </c>
      <c r="V10" s="20"/>
      <c r="W10" s="20"/>
      <c r="X10" s="20"/>
    </row>
    <row r="11" spans="1:24" x14ac:dyDescent="0.3">
      <c r="A11" s="2">
        <v>3</v>
      </c>
      <c r="B11" s="2">
        <v>4.5999999999999996</v>
      </c>
      <c r="C11" s="5">
        <v>38</v>
      </c>
      <c r="D11" s="2" t="s">
        <v>4</v>
      </c>
      <c r="F11" s="2">
        <v>2</v>
      </c>
      <c r="G11" s="2">
        <v>10.1</v>
      </c>
      <c r="H11" s="5">
        <v>51</v>
      </c>
      <c r="I11" s="2" t="s">
        <v>5</v>
      </c>
      <c r="K11" s="6" t="s">
        <v>25</v>
      </c>
      <c r="L11" s="1">
        <f>L10-1</f>
        <v>46</v>
      </c>
      <c r="M11" s="6" t="s">
        <v>26</v>
      </c>
      <c r="N11" s="1">
        <f>N10-1</f>
        <v>52</v>
      </c>
      <c r="Q11" s="1" cm="1">
        <f t="array" ref="Q11:S13">(G68:I70)*N11</f>
        <v>81.547169811320742</v>
      </c>
      <c r="R11" s="1">
        <v>-8.4924528301886859</v>
      </c>
      <c r="S11" s="1">
        <v>21.773584905660403</v>
      </c>
      <c r="V11" s="1" cm="1">
        <f t="array" ref="V11:X13">MINVERSE(Q16:S18)</f>
        <v>0.61437540308022287</v>
      </c>
      <c r="W11" s="1">
        <v>-1.8845140910843466E-2</v>
      </c>
      <c r="X11" s="1">
        <v>-1.4075185856148539E-3</v>
      </c>
    </row>
    <row r="12" spans="1:24" x14ac:dyDescent="0.3">
      <c r="A12" s="2">
        <v>2</v>
      </c>
      <c r="B12" s="2">
        <v>4.9000000000000004</v>
      </c>
      <c r="C12" s="5">
        <v>57</v>
      </c>
      <c r="D12" s="2" t="s">
        <v>4</v>
      </c>
      <c r="F12" s="2">
        <v>0</v>
      </c>
      <c r="G12" s="2">
        <v>14.1</v>
      </c>
      <c r="H12" s="5">
        <v>51</v>
      </c>
      <c r="I12" s="2" t="s">
        <v>5</v>
      </c>
      <c r="K12" s="6" t="s">
        <v>27</v>
      </c>
      <c r="L12" s="1">
        <f>L10+N10-2</f>
        <v>98</v>
      </c>
      <c r="P12" s="1" t="s">
        <v>24</v>
      </c>
      <c r="Q12" s="1">
        <v>-8.4924528301886859</v>
      </c>
      <c r="R12" s="1">
        <v>836.83320754716704</v>
      </c>
      <c r="S12" s="1">
        <v>112.50377358490559</v>
      </c>
      <c r="U12" s="1" t="s">
        <v>32</v>
      </c>
      <c r="V12" s="1">
        <v>-1.8928107023405649E-2</v>
      </c>
      <c r="W12" s="1">
        <v>7.598556854013061E-2</v>
      </c>
      <c r="X12" s="1">
        <v>-3.5071344545346632E-4</v>
      </c>
    </row>
    <row r="13" spans="1:24" x14ac:dyDescent="0.3">
      <c r="A13" s="2">
        <v>4</v>
      </c>
      <c r="B13" s="2">
        <v>8</v>
      </c>
      <c r="C13" s="5">
        <v>36</v>
      </c>
      <c r="D13" s="2" t="s">
        <v>4</v>
      </c>
      <c r="F13" s="2">
        <v>0</v>
      </c>
      <c r="G13" s="2">
        <v>8.4</v>
      </c>
      <c r="H13" s="5">
        <v>48</v>
      </c>
      <c r="I13" s="2" t="s">
        <v>5</v>
      </c>
      <c r="Q13" s="1">
        <v>21.773584905660403</v>
      </c>
      <c r="R13" s="1">
        <v>112.50377358490559</v>
      </c>
      <c r="S13" s="1">
        <v>4569.8867924528313</v>
      </c>
      <c r="V13" s="1">
        <v>-1.2105311677098954E-3</v>
      </c>
      <c r="W13" s="1">
        <v>-1.1399684721233288E-3</v>
      </c>
      <c r="X13" s="1">
        <v>1.4222400187641414E-2</v>
      </c>
    </row>
    <row r="14" spans="1:24" x14ac:dyDescent="0.3">
      <c r="A14" s="2">
        <v>1</v>
      </c>
      <c r="B14" s="2">
        <v>8.3000000000000007</v>
      </c>
      <c r="C14" s="5">
        <v>50</v>
      </c>
      <c r="D14" s="2" t="s">
        <v>4</v>
      </c>
      <c r="F14" s="2">
        <v>2</v>
      </c>
      <c r="G14" s="2">
        <v>9.1999999999999993</v>
      </c>
      <c r="H14" s="5">
        <v>61</v>
      </c>
      <c r="I14" s="2" t="s">
        <v>5</v>
      </c>
    </row>
    <row r="15" spans="1:24" x14ac:dyDescent="0.3">
      <c r="A15" s="2">
        <v>3</v>
      </c>
      <c r="B15" s="2">
        <v>8</v>
      </c>
      <c r="C15" s="5">
        <v>50</v>
      </c>
      <c r="D15" s="2" t="s">
        <v>4</v>
      </c>
      <c r="F15" s="2">
        <v>2</v>
      </c>
      <c r="G15" s="2">
        <v>7.7</v>
      </c>
      <c r="H15" s="5">
        <v>59</v>
      </c>
      <c r="I15" s="2" t="s">
        <v>5</v>
      </c>
      <c r="P15" s="19" t="s">
        <v>31</v>
      </c>
      <c r="Q15" s="19"/>
      <c r="R15" s="19"/>
      <c r="S15" s="19"/>
    </row>
    <row r="16" spans="1:24" x14ac:dyDescent="0.3">
      <c r="A16" s="2">
        <v>1</v>
      </c>
      <c r="B16" s="2">
        <v>4.2</v>
      </c>
      <c r="C16" s="5">
        <v>37</v>
      </c>
      <c r="D16" s="2" t="s">
        <v>4</v>
      </c>
      <c r="F16" s="2">
        <v>2</v>
      </c>
      <c r="G16" s="2">
        <v>10.7</v>
      </c>
      <c r="H16" s="5">
        <v>40</v>
      </c>
      <c r="I16" s="2" t="s">
        <v>5</v>
      </c>
      <c r="K16" s="15" t="s">
        <v>50</v>
      </c>
      <c r="L16" s="15"/>
      <c r="M16" s="15"/>
      <c r="N16" s="15"/>
      <c r="Q16" s="1" cm="1">
        <f t="array" ref="Q16:S18">((Q6:S8)+(Q11:S13))/L12</f>
        <v>1.6406246159644107</v>
      </c>
      <c r="R16" s="1">
        <v>0.40947779352608143</v>
      </c>
      <c r="S16" s="1">
        <v>0.17246167836865806</v>
      </c>
    </row>
    <row r="17" spans="1:19" x14ac:dyDescent="0.3">
      <c r="A17" s="2">
        <v>2</v>
      </c>
      <c r="B17" s="2">
        <v>3.1</v>
      </c>
      <c r="C17" s="5">
        <v>56</v>
      </c>
      <c r="D17" s="2" t="s">
        <v>4</v>
      </c>
      <c r="F17" s="2">
        <v>2</v>
      </c>
      <c r="G17" s="2">
        <v>12.5</v>
      </c>
      <c r="H17" s="5">
        <v>47</v>
      </c>
      <c r="I17" s="2" t="s">
        <v>5</v>
      </c>
      <c r="P17" s="1" t="s">
        <v>30</v>
      </c>
      <c r="Q17" s="1">
        <v>0.40947779352608143</v>
      </c>
      <c r="R17" s="1">
        <v>13.267464341015362</v>
      </c>
      <c r="S17" s="1">
        <v>0.36768939611171564</v>
      </c>
    </row>
    <row r="18" spans="1:19" x14ac:dyDescent="0.3">
      <c r="A18" s="2">
        <v>2</v>
      </c>
      <c r="B18" s="2">
        <v>6.8</v>
      </c>
      <c r="C18" s="5">
        <v>41</v>
      </c>
      <c r="D18" s="2" t="s">
        <v>4</v>
      </c>
      <c r="F18" s="2">
        <v>2</v>
      </c>
      <c r="G18" s="2">
        <v>9.1</v>
      </c>
      <c r="H18" s="5">
        <v>57</v>
      </c>
      <c r="I18" s="2" t="s">
        <v>5</v>
      </c>
      <c r="Q18" s="1">
        <v>0.17246167836865806</v>
      </c>
      <c r="R18" s="1">
        <v>1.0982799301976904</v>
      </c>
      <c r="S18" s="1">
        <v>70.355770569970318</v>
      </c>
    </row>
    <row r="19" spans="1:19" x14ac:dyDescent="0.3">
      <c r="A19" s="2">
        <v>2</v>
      </c>
      <c r="B19" s="2">
        <v>7.4</v>
      </c>
      <c r="C19" s="5">
        <v>35</v>
      </c>
      <c r="D19" s="2" t="s">
        <v>4</v>
      </c>
      <c r="F19" s="2">
        <v>2</v>
      </c>
      <c r="G19" s="2">
        <v>11.8</v>
      </c>
      <c r="H19" s="5">
        <v>47</v>
      </c>
      <c r="I19" s="2" t="s">
        <v>5</v>
      </c>
    </row>
    <row r="20" spans="1:19" x14ac:dyDescent="0.3">
      <c r="A20" s="2">
        <v>1</v>
      </c>
      <c r="B20" s="2">
        <v>7</v>
      </c>
      <c r="C20" s="5">
        <v>35</v>
      </c>
      <c r="D20" s="2" t="s">
        <v>4</v>
      </c>
      <c r="F20" s="2">
        <v>1</v>
      </c>
      <c r="G20" s="2">
        <v>11.9</v>
      </c>
      <c r="H20" s="5">
        <v>43</v>
      </c>
      <c r="I20" s="2" t="s">
        <v>5</v>
      </c>
    </row>
    <row r="21" spans="1:19" x14ac:dyDescent="0.3">
      <c r="A21" s="2">
        <v>1</v>
      </c>
      <c r="B21" s="2">
        <v>7.8</v>
      </c>
      <c r="C21" s="5">
        <v>49</v>
      </c>
      <c r="D21" s="2" t="s">
        <v>4</v>
      </c>
      <c r="F21" s="2">
        <v>1</v>
      </c>
      <c r="G21" s="2">
        <v>9.4</v>
      </c>
      <c r="H21" s="5">
        <v>60</v>
      </c>
      <c r="I21" s="2" t="s">
        <v>5</v>
      </c>
    </row>
    <row r="22" spans="1:19" x14ac:dyDescent="0.3">
      <c r="A22" s="2">
        <v>1</v>
      </c>
      <c r="B22" s="2">
        <v>8.1999999999999993</v>
      </c>
      <c r="C22" s="5">
        <v>50</v>
      </c>
      <c r="D22" s="2" t="s">
        <v>4</v>
      </c>
      <c r="F22" s="2">
        <v>1</v>
      </c>
      <c r="G22" s="2">
        <v>10.7</v>
      </c>
      <c r="H22" s="5">
        <v>41</v>
      </c>
      <c r="I22" s="2" t="s">
        <v>5</v>
      </c>
      <c r="K22" s="1" t="s">
        <v>36</v>
      </c>
      <c r="L22" s="1">
        <f>A54</f>
        <v>2.1276595744680851</v>
      </c>
      <c r="M22" s="1">
        <f>F60</f>
        <v>1.679245283018868</v>
      </c>
      <c r="N22" s="1">
        <f>L22-M22</f>
        <v>0.44841429144921707</v>
      </c>
    </row>
    <row r="23" spans="1:19" x14ac:dyDescent="0.3">
      <c r="A23" s="2">
        <v>0</v>
      </c>
      <c r="B23" s="2">
        <v>4.5</v>
      </c>
      <c r="C23" s="5">
        <v>44</v>
      </c>
      <c r="D23" s="2" t="s">
        <v>4</v>
      </c>
      <c r="F23" s="2">
        <v>4</v>
      </c>
      <c r="G23" s="2">
        <v>15.1</v>
      </c>
      <c r="H23" s="5">
        <v>58</v>
      </c>
      <c r="I23" s="2" t="s">
        <v>5</v>
      </c>
      <c r="K23" s="1" t="s">
        <v>34</v>
      </c>
      <c r="L23" s="1">
        <f>B54</f>
        <v>7.1297872340425545</v>
      </c>
      <c r="M23" s="1">
        <f>G60</f>
        <v>11.388679245283019</v>
      </c>
      <c r="N23" s="1">
        <f t="shared" ref="N23:N24" si="0">L23-M23</f>
        <v>-4.258892011240464</v>
      </c>
    </row>
    <row r="24" spans="1:19" x14ac:dyDescent="0.3">
      <c r="A24" s="2">
        <v>3</v>
      </c>
      <c r="B24" s="2">
        <v>8.1</v>
      </c>
      <c r="C24" s="5">
        <v>40</v>
      </c>
      <c r="D24" s="2" t="s">
        <v>4</v>
      </c>
      <c r="F24" s="2">
        <v>3</v>
      </c>
      <c r="G24" s="2">
        <v>15.9</v>
      </c>
      <c r="H24" s="5">
        <v>61</v>
      </c>
      <c r="I24" s="2" t="s">
        <v>5</v>
      </c>
      <c r="K24" s="1" t="s">
        <v>35</v>
      </c>
      <c r="L24" s="1">
        <f>C54</f>
        <v>45.978723404255319</v>
      </c>
      <c r="M24" s="1">
        <f>H60</f>
        <v>48.339622641509436</v>
      </c>
      <c r="N24" s="1">
        <f t="shared" si="0"/>
        <v>-2.3608992372541167</v>
      </c>
    </row>
    <row r="25" spans="1:19" x14ac:dyDescent="0.3">
      <c r="A25" s="2">
        <v>2</v>
      </c>
      <c r="B25" s="2">
        <v>6.6</v>
      </c>
      <c r="C25" s="5">
        <v>49</v>
      </c>
      <c r="D25" s="2" t="s">
        <v>4</v>
      </c>
      <c r="F25" s="2">
        <v>2</v>
      </c>
      <c r="G25" s="2">
        <v>13.7</v>
      </c>
      <c r="H25" s="5">
        <v>58</v>
      </c>
      <c r="I25" s="2" t="s">
        <v>5</v>
      </c>
    </row>
    <row r="26" spans="1:19" x14ac:dyDescent="0.3">
      <c r="A26" s="2">
        <v>4</v>
      </c>
      <c r="B26" s="2">
        <v>19.8</v>
      </c>
      <c r="C26" s="5">
        <v>42</v>
      </c>
      <c r="D26" s="2" t="s">
        <v>4</v>
      </c>
      <c r="F26" s="2">
        <v>3</v>
      </c>
      <c r="G26" s="2">
        <v>12.6</v>
      </c>
      <c r="H26" s="5">
        <v>52</v>
      </c>
      <c r="I26" s="2" t="s">
        <v>5</v>
      </c>
      <c r="L26" s="1" cm="1">
        <f t="array" ref="L26:L28">MMULT(V11:X13,N22:N24)</f>
        <v>0.35907714068713648</v>
      </c>
      <c r="N26" s="1" t="s">
        <v>38</v>
      </c>
      <c r="O26" s="1">
        <f>L26</f>
        <v>0.35907714068713648</v>
      </c>
    </row>
    <row r="27" spans="1:19" x14ac:dyDescent="0.3">
      <c r="A27" s="2">
        <v>1</v>
      </c>
      <c r="B27" s="2">
        <v>7.8</v>
      </c>
      <c r="C27" s="5">
        <v>35</v>
      </c>
      <c r="D27" s="2" t="s">
        <v>4</v>
      </c>
      <c r="F27" s="2">
        <v>1</v>
      </c>
      <c r="G27" s="2">
        <v>12.1</v>
      </c>
      <c r="H27" s="5">
        <v>44</v>
      </c>
      <c r="I27" s="2" t="s">
        <v>5</v>
      </c>
      <c r="K27" s="1" t="s">
        <v>37</v>
      </c>
      <c r="L27" s="1">
        <v>-0.33127396541863652</v>
      </c>
      <c r="N27" s="1" t="s">
        <v>39</v>
      </c>
      <c r="O27" s="1">
        <f>L27</f>
        <v>-0.33127396541863652</v>
      </c>
    </row>
    <row r="28" spans="1:19" x14ac:dyDescent="0.3">
      <c r="A28" s="2">
        <v>2</v>
      </c>
      <c r="B28" s="2">
        <v>4.5999999999999996</v>
      </c>
      <c r="C28" s="5">
        <v>47</v>
      </c>
      <c r="D28" s="2" t="s">
        <v>4</v>
      </c>
      <c r="F28" s="2">
        <v>2</v>
      </c>
      <c r="G28" s="2">
        <v>11.3</v>
      </c>
      <c r="H28" s="5">
        <v>41</v>
      </c>
      <c r="I28" s="2" t="s">
        <v>5</v>
      </c>
      <c r="L28" s="1">
        <v>-2.9265470611779205E-2</v>
      </c>
      <c r="N28" s="1" t="s">
        <v>40</v>
      </c>
      <c r="O28" s="1">
        <f>L28</f>
        <v>-2.9265470611779205E-2</v>
      </c>
    </row>
    <row r="29" spans="1:19" x14ac:dyDescent="0.3">
      <c r="A29" s="2">
        <v>0</v>
      </c>
      <c r="B29" s="2">
        <v>7.4</v>
      </c>
      <c r="C29" s="5">
        <v>46</v>
      </c>
      <c r="D29" s="2" t="s">
        <v>4</v>
      </c>
      <c r="F29" s="2">
        <v>0</v>
      </c>
      <c r="G29" s="2">
        <v>12.5</v>
      </c>
      <c r="H29" s="5">
        <v>54</v>
      </c>
      <c r="I29" s="2" t="s">
        <v>5</v>
      </c>
    </row>
    <row r="30" spans="1:19" x14ac:dyDescent="0.3">
      <c r="A30" s="2">
        <v>4</v>
      </c>
      <c r="B30" s="2">
        <v>5.5</v>
      </c>
      <c r="C30" s="5">
        <v>47</v>
      </c>
      <c r="D30" s="2" t="s">
        <v>4</v>
      </c>
      <c r="F30" s="2">
        <v>2</v>
      </c>
      <c r="G30" s="2">
        <v>11.3</v>
      </c>
      <c r="H30" s="5">
        <v>41</v>
      </c>
      <c r="I30" s="2" t="s">
        <v>5</v>
      </c>
      <c r="K30" s="10" t="s">
        <v>41</v>
      </c>
      <c r="L30" s="10" cm="1">
        <f t="array" ref="L30:N30">TRANSPOSE(_xlfn.ANCHORARRAY(L26))</f>
        <v>0.35907714068713648</v>
      </c>
      <c r="M30" s="10">
        <v>-0.33127396541863652</v>
      </c>
      <c r="N30" s="10">
        <v>-2.9265470611779205E-2</v>
      </c>
    </row>
    <row r="31" spans="1:19" x14ac:dyDescent="0.3">
      <c r="A31" s="2">
        <v>3</v>
      </c>
      <c r="B31" s="2">
        <v>16.399999999999999</v>
      </c>
      <c r="C31" s="5">
        <v>54</v>
      </c>
      <c r="D31" s="2" t="s">
        <v>4</v>
      </c>
      <c r="F31" s="2">
        <v>1</v>
      </c>
      <c r="G31" s="2">
        <v>10.5</v>
      </c>
      <c r="H31" s="5">
        <v>31</v>
      </c>
      <c r="I31" s="2" t="s">
        <v>5</v>
      </c>
    </row>
    <row r="32" spans="1:19" x14ac:dyDescent="0.3">
      <c r="A32" s="2">
        <v>1</v>
      </c>
      <c r="B32" s="2">
        <v>7.6</v>
      </c>
      <c r="C32" s="5">
        <v>35</v>
      </c>
      <c r="D32" s="2" t="s">
        <v>4</v>
      </c>
      <c r="F32" s="2">
        <v>2</v>
      </c>
      <c r="G32" s="2">
        <v>9.8000000000000007</v>
      </c>
      <c r="H32" s="5">
        <v>31</v>
      </c>
      <c r="I32" s="2" t="s">
        <v>5</v>
      </c>
      <c r="K32" s="15" t="s">
        <v>51</v>
      </c>
      <c r="L32" s="15"/>
      <c r="M32" s="15"/>
      <c r="N32" s="15"/>
    </row>
    <row r="33" spans="1:16" x14ac:dyDescent="0.3">
      <c r="A33" s="2">
        <v>2</v>
      </c>
      <c r="B33" s="2">
        <v>4.9000000000000004</v>
      </c>
      <c r="C33" s="5">
        <v>56</v>
      </c>
      <c r="D33" s="2" t="s">
        <v>4</v>
      </c>
      <c r="F33" s="2">
        <v>0</v>
      </c>
      <c r="G33" s="2">
        <v>10.1</v>
      </c>
      <c r="H33" s="5">
        <v>40</v>
      </c>
      <c r="I33" s="2" t="s">
        <v>5</v>
      </c>
    </row>
    <row r="34" spans="1:16" x14ac:dyDescent="0.3">
      <c r="A34" s="2">
        <v>2</v>
      </c>
      <c r="B34" s="2">
        <v>4.2</v>
      </c>
      <c r="C34" s="5">
        <v>56</v>
      </c>
      <c r="D34" s="2" t="s">
        <v>4</v>
      </c>
      <c r="F34" s="2">
        <v>4</v>
      </c>
      <c r="G34" s="2">
        <v>4.8</v>
      </c>
      <c r="H34" s="5">
        <v>61</v>
      </c>
      <c r="I34" s="2" t="s">
        <v>5</v>
      </c>
    </row>
    <row r="35" spans="1:16" x14ac:dyDescent="0.3">
      <c r="A35" s="2">
        <v>1</v>
      </c>
      <c r="B35" s="2">
        <v>9</v>
      </c>
      <c r="C35" s="5">
        <v>38</v>
      </c>
      <c r="D35" s="2" t="s">
        <v>4</v>
      </c>
      <c r="F35" s="2">
        <v>1</v>
      </c>
      <c r="G35" s="2">
        <v>12.9</v>
      </c>
      <c r="H35" s="5">
        <v>48</v>
      </c>
      <c r="I35" s="2" t="s">
        <v>5</v>
      </c>
    </row>
    <row r="36" spans="1:16" x14ac:dyDescent="0.3">
      <c r="A36" s="2">
        <v>4</v>
      </c>
      <c r="B36" s="2">
        <v>9.1999999999999993</v>
      </c>
      <c r="C36" s="5">
        <v>40</v>
      </c>
      <c r="D36" s="2" t="s">
        <v>4</v>
      </c>
      <c r="F36" s="2">
        <v>2</v>
      </c>
      <c r="G36" s="2">
        <v>13.1</v>
      </c>
      <c r="H36" s="5">
        <v>58</v>
      </c>
      <c r="I36" s="2" t="s">
        <v>5</v>
      </c>
    </row>
    <row r="37" spans="1:16" x14ac:dyDescent="0.3">
      <c r="A37" s="2">
        <v>5</v>
      </c>
      <c r="B37" s="2">
        <v>4.5999999999999996</v>
      </c>
      <c r="C37" s="5">
        <v>50</v>
      </c>
      <c r="D37" s="2" t="s">
        <v>4</v>
      </c>
      <c r="F37" s="2">
        <v>1</v>
      </c>
      <c r="G37" s="2">
        <v>7.9</v>
      </c>
      <c r="H37" s="5">
        <v>55</v>
      </c>
      <c r="I37" s="2" t="s">
        <v>5</v>
      </c>
    </row>
    <row r="38" spans="1:16" x14ac:dyDescent="0.3">
      <c r="A38" s="2">
        <v>2</v>
      </c>
      <c r="B38" s="2">
        <v>6.4</v>
      </c>
      <c r="C38" s="5">
        <v>59</v>
      </c>
      <c r="D38" s="2" t="s">
        <v>4</v>
      </c>
      <c r="F38" s="2">
        <v>1</v>
      </c>
      <c r="G38" s="2">
        <v>6.5</v>
      </c>
      <c r="H38" s="5">
        <v>52</v>
      </c>
      <c r="I38" s="2" t="s">
        <v>5</v>
      </c>
    </row>
    <row r="39" spans="1:16" x14ac:dyDescent="0.3">
      <c r="A39" s="2">
        <v>2</v>
      </c>
      <c r="B39" s="2">
        <v>6</v>
      </c>
      <c r="C39" s="5">
        <v>42</v>
      </c>
      <c r="D39" s="2" t="s">
        <v>4</v>
      </c>
      <c r="F39" s="2">
        <v>4</v>
      </c>
      <c r="G39" s="2">
        <v>13.2</v>
      </c>
      <c r="H39" s="5">
        <v>34</v>
      </c>
      <c r="I39" s="2" t="s">
        <v>5</v>
      </c>
      <c r="K39" s="1" cm="1">
        <f t="array" ref="K39:K41">TRANSPOSE(A54:C54)</f>
        <v>2.1276595744680851</v>
      </c>
      <c r="L39" s="1" cm="1">
        <f t="array" ref="L39:L41">TRANSPOSE(F60:H60)</f>
        <v>1.679245283018868</v>
      </c>
      <c r="N39" s="1" t="s">
        <v>38</v>
      </c>
      <c r="O39" s="1" t="s">
        <v>39</v>
      </c>
      <c r="P39" s="1" t="s">
        <v>40</v>
      </c>
    </row>
    <row r="40" spans="1:16" x14ac:dyDescent="0.3">
      <c r="A40" s="2">
        <v>1</v>
      </c>
      <c r="B40" s="2">
        <v>10.5</v>
      </c>
      <c r="C40" s="5">
        <v>46</v>
      </c>
      <c r="D40" s="2" t="s">
        <v>4</v>
      </c>
      <c r="F40" s="2">
        <v>2</v>
      </c>
      <c r="G40" s="2">
        <v>6.5</v>
      </c>
      <c r="H40" s="5">
        <v>39</v>
      </c>
      <c r="I40" s="2" t="s">
        <v>5</v>
      </c>
      <c r="K40" s="1">
        <v>7.1297872340425545</v>
      </c>
      <c r="L40" s="1">
        <v>11.388679245283019</v>
      </c>
      <c r="M40" s="1" t="s">
        <v>41</v>
      </c>
      <c r="N40" s="1" cm="1">
        <f t="array" ref="N40:P40">L30:N30</f>
        <v>0.35907714068713648</v>
      </c>
      <c r="O40" s="1">
        <v>-0.33127396541863652</v>
      </c>
      <c r="P40" s="1">
        <v>-2.9265470611779205E-2</v>
      </c>
    </row>
    <row r="41" spans="1:16" x14ac:dyDescent="0.3">
      <c r="A41" s="2">
        <v>2</v>
      </c>
      <c r="B41" s="2">
        <v>8.9</v>
      </c>
      <c r="C41" s="5">
        <v>56</v>
      </c>
      <c r="D41" s="2" t="s">
        <v>4</v>
      </c>
      <c r="F41" s="2">
        <v>0</v>
      </c>
      <c r="G41" s="2">
        <v>4.7</v>
      </c>
      <c r="H41" s="5">
        <v>38</v>
      </c>
      <c r="I41" s="2" t="s">
        <v>5</v>
      </c>
      <c r="K41" s="1">
        <v>45.978723404255319</v>
      </c>
      <c r="L41" s="1">
        <v>48.339622641509436</v>
      </c>
    </row>
    <row r="42" spans="1:16" x14ac:dyDescent="0.3">
      <c r="A42" s="2">
        <v>3</v>
      </c>
      <c r="B42" s="2">
        <v>12.1</v>
      </c>
      <c r="C42" s="5">
        <v>43</v>
      </c>
      <c r="D42" s="2" t="s">
        <v>4</v>
      </c>
      <c r="F42" s="2">
        <v>0</v>
      </c>
      <c r="G42" s="2">
        <v>8</v>
      </c>
      <c r="H42" s="5">
        <v>47</v>
      </c>
      <c r="I42" s="2" t="s">
        <v>5</v>
      </c>
    </row>
    <row r="43" spans="1:16" x14ac:dyDescent="0.3">
      <c r="A43" s="2">
        <v>4</v>
      </c>
      <c r="B43" s="2">
        <v>9.5</v>
      </c>
      <c r="C43" s="5">
        <v>54</v>
      </c>
      <c r="D43" s="2" t="s">
        <v>4</v>
      </c>
      <c r="F43" s="2">
        <v>3</v>
      </c>
      <c r="G43" s="2">
        <v>13.9</v>
      </c>
      <c r="H43" s="5">
        <v>55</v>
      </c>
      <c r="I43" s="2" t="s">
        <v>5</v>
      </c>
      <c r="M43" s="1" t="s">
        <v>42</v>
      </c>
      <c r="N43" s="1" cm="1">
        <f t="array" ref="N43:P43">1/2*(N40:P40)</f>
        <v>0.17953857034356824</v>
      </c>
      <c r="O43" s="1">
        <v>-0.16563698270931826</v>
      </c>
      <c r="P43" s="1">
        <v>-1.4632735305889603E-2</v>
      </c>
    </row>
    <row r="44" spans="1:16" x14ac:dyDescent="0.3">
      <c r="A44" s="2">
        <v>2</v>
      </c>
      <c r="B44" s="2">
        <v>9.1</v>
      </c>
      <c r="C44" s="5">
        <v>45</v>
      </c>
      <c r="D44" s="2" t="s">
        <v>4</v>
      </c>
      <c r="F44" s="2">
        <v>0</v>
      </c>
      <c r="G44" s="2">
        <v>11.4</v>
      </c>
      <c r="H44" s="5">
        <v>59</v>
      </c>
      <c r="I44" s="2" t="s">
        <v>5</v>
      </c>
      <c r="K44" s="1">
        <f>K39+L39</f>
        <v>3.8069048574869528</v>
      </c>
    </row>
    <row r="45" spans="1:16" x14ac:dyDescent="0.3">
      <c r="A45" s="2">
        <v>3</v>
      </c>
      <c r="B45" s="2">
        <v>7.1</v>
      </c>
      <c r="C45" s="5">
        <v>55</v>
      </c>
      <c r="D45" s="2" t="s">
        <v>4</v>
      </c>
      <c r="F45" s="2">
        <v>2</v>
      </c>
      <c r="G45" s="2">
        <v>9.3000000000000007</v>
      </c>
      <c r="H45" s="5">
        <v>60</v>
      </c>
      <c r="I45" s="2" t="s">
        <v>5</v>
      </c>
      <c r="K45" s="1">
        <f>K40+L40</f>
        <v>18.518466479325575</v>
      </c>
    </row>
    <row r="46" spans="1:16" x14ac:dyDescent="0.3">
      <c r="A46" s="2">
        <v>3</v>
      </c>
      <c r="B46" s="2">
        <v>4.0999999999999996</v>
      </c>
      <c r="C46" s="5">
        <v>51</v>
      </c>
      <c r="D46" s="2" t="s">
        <v>4</v>
      </c>
      <c r="F46" s="2">
        <v>1</v>
      </c>
      <c r="G46" s="2">
        <v>16.3</v>
      </c>
      <c r="H46" s="5">
        <v>35</v>
      </c>
      <c r="I46" s="2" t="s">
        <v>5</v>
      </c>
      <c r="K46" s="1">
        <f>K41+L41</f>
        <v>94.318346045764756</v>
      </c>
    </row>
    <row r="47" spans="1:16" x14ac:dyDescent="0.3">
      <c r="A47" s="2">
        <v>3</v>
      </c>
      <c r="B47" s="2">
        <v>4.4000000000000004</v>
      </c>
      <c r="C47" s="5">
        <v>42</v>
      </c>
      <c r="D47" s="2" t="s">
        <v>4</v>
      </c>
      <c r="F47" s="2">
        <v>4</v>
      </c>
      <c r="G47" s="2">
        <v>11.3</v>
      </c>
      <c r="H47" s="5">
        <v>38</v>
      </c>
      <c r="I47" s="2" t="s">
        <v>5</v>
      </c>
    </row>
    <row r="48" spans="1:16" x14ac:dyDescent="0.3">
      <c r="A48" s="2">
        <v>1</v>
      </c>
      <c r="B48" s="2">
        <v>5.2</v>
      </c>
      <c r="C48" s="5">
        <v>50</v>
      </c>
      <c r="D48" s="2" t="s">
        <v>4</v>
      </c>
      <c r="F48" s="2">
        <v>4</v>
      </c>
      <c r="G48" s="2">
        <v>7.9</v>
      </c>
      <c r="H48" s="5">
        <v>46</v>
      </c>
      <c r="I48" s="2" t="s">
        <v>5</v>
      </c>
      <c r="K48" s="10" t="s">
        <v>43</v>
      </c>
      <c r="L48" s="10" cm="1">
        <f t="array" ref="L48">MMULT(_xlfn.ANCHORARRAY(N43),K44:K46)</f>
        <v>-3.7639920486689222</v>
      </c>
    </row>
    <row r="49" spans="1:14" x14ac:dyDescent="0.3">
      <c r="A49" s="2">
        <v>1</v>
      </c>
      <c r="B49" s="2">
        <v>4.2</v>
      </c>
      <c r="C49" s="5">
        <v>49</v>
      </c>
      <c r="D49" s="2" t="s">
        <v>4</v>
      </c>
      <c r="F49" s="2">
        <v>1</v>
      </c>
      <c r="G49" s="2">
        <v>14</v>
      </c>
      <c r="H49" s="5">
        <v>40</v>
      </c>
      <c r="I49" s="2" t="s">
        <v>5</v>
      </c>
    </row>
    <row r="50" spans="1:14" x14ac:dyDescent="0.3">
      <c r="A50" s="2">
        <v>1</v>
      </c>
      <c r="B50" s="2">
        <v>6.5</v>
      </c>
      <c r="C50" s="5">
        <v>50</v>
      </c>
      <c r="D50" s="2" t="s">
        <v>4</v>
      </c>
      <c r="F50" s="2">
        <v>1</v>
      </c>
      <c r="G50" s="2">
        <v>28</v>
      </c>
      <c r="H50" s="5">
        <v>57</v>
      </c>
      <c r="I50" s="2" t="s">
        <v>5</v>
      </c>
      <c r="K50" s="15" t="s">
        <v>52</v>
      </c>
      <c r="L50" s="15"/>
      <c r="M50" s="15"/>
      <c r="N50" s="15"/>
    </row>
    <row r="51" spans="1:14" x14ac:dyDescent="0.3">
      <c r="A51" s="2">
        <v>2</v>
      </c>
      <c r="B51" s="2">
        <v>6.8</v>
      </c>
      <c r="C51" s="5">
        <v>47</v>
      </c>
      <c r="D51" s="2" t="s">
        <v>4</v>
      </c>
      <c r="F51" s="2">
        <v>1</v>
      </c>
      <c r="G51" s="2">
        <v>6.5</v>
      </c>
      <c r="H51" s="5">
        <v>41</v>
      </c>
      <c r="I51" s="2" t="s">
        <v>5</v>
      </c>
      <c r="K51" s="23" t="s">
        <v>46</v>
      </c>
      <c r="L51" s="23"/>
      <c r="M51" s="23"/>
      <c r="N51" s="23"/>
    </row>
    <row r="52" spans="1:14" x14ac:dyDescent="0.3">
      <c r="A52" s="17" t="s">
        <v>53</v>
      </c>
      <c r="B52" s="18"/>
      <c r="C52" s="18"/>
      <c r="D52" s="18"/>
      <c r="F52" s="2">
        <v>1</v>
      </c>
      <c r="G52" s="2">
        <v>9.8000000000000007</v>
      </c>
      <c r="H52" s="5">
        <v>42</v>
      </c>
      <c r="I52" s="2" t="s">
        <v>5</v>
      </c>
      <c r="K52" s="23" t="s">
        <v>45</v>
      </c>
      <c r="L52" s="23"/>
      <c r="M52" s="23"/>
      <c r="N52" s="23"/>
    </row>
    <row r="53" spans="1:14" x14ac:dyDescent="0.3">
      <c r="F53" s="2">
        <v>1</v>
      </c>
      <c r="G53" s="2">
        <v>14.2</v>
      </c>
      <c r="H53" s="5">
        <v>55</v>
      </c>
      <c r="I53" s="2" t="s">
        <v>5</v>
      </c>
    </row>
    <row r="54" spans="1:14" x14ac:dyDescent="0.3">
      <c r="A54" s="1">
        <f>AVERAGE(A5:A51)</f>
        <v>2.1276595744680851</v>
      </c>
      <c r="B54" s="1">
        <f>AVERAGE(B5:B51)</f>
        <v>7.1297872340425545</v>
      </c>
      <c r="C54" s="1">
        <f>AVERAGE(C5:C51)</f>
        <v>45.978723404255319</v>
      </c>
      <c r="F54" s="2">
        <v>1</v>
      </c>
      <c r="G54" s="2">
        <v>10.7</v>
      </c>
      <c r="H54" s="5">
        <v>60</v>
      </c>
      <c r="I54" s="2" t="s">
        <v>5</v>
      </c>
    </row>
    <row r="55" spans="1:14" x14ac:dyDescent="0.3">
      <c r="F55" s="2">
        <v>3</v>
      </c>
      <c r="G55" s="2">
        <v>10</v>
      </c>
      <c r="H55" s="5">
        <v>59</v>
      </c>
      <c r="I55" s="2" t="s">
        <v>5</v>
      </c>
    </row>
    <row r="56" spans="1:14" x14ac:dyDescent="0.3">
      <c r="B56" s="6" t="s">
        <v>9</v>
      </c>
      <c r="C56" s="1" t="s">
        <v>10</v>
      </c>
      <c r="D56" s="1" t="s">
        <v>11</v>
      </c>
      <c r="F56" s="2">
        <v>0</v>
      </c>
      <c r="G56" s="2">
        <v>12</v>
      </c>
      <c r="H56" s="5">
        <v>40</v>
      </c>
      <c r="I56" s="2" t="s">
        <v>5</v>
      </c>
    </row>
    <row r="57" spans="1:14" x14ac:dyDescent="0.3">
      <c r="A57" s="1" t="s">
        <v>8</v>
      </c>
      <c r="B57" s="1" t="s">
        <v>14</v>
      </c>
      <c r="C57" s="6" t="s">
        <v>16</v>
      </c>
      <c r="D57" s="1" t="s">
        <v>15</v>
      </c>
      <c r="F57" s="2">
        <v>1</v>
      </c>
      <c r="G57" s="2">
        <v>23</v>
      </c>
      <c r="H57" s="5">
        <v>44</v>
      </c>
      <c r="I57" s="2" t="s">
        <v>5</v>
      </c>
    </row>
    <row r="58" spans="1:14" x14ac:dyDescent="0.3">
      <c r="B58" s="1" t="s">
        <v>12</v>
      </c>
      <c r="C58" s="1" t="s">
        <v>13</v>
      </c>
      <c r="D58" s="6" t="s">
        <v>17</v>
      </c>
    </row>
    <row r="60" spans="1:14" x14ac:dyDescent="0.3">
      <c r="F60" s="1">
        <f>AVERAGE(F5:F57)</f>
        <v>1.679245283018868</v>
      </c>
      <c r="G60" s="1">
        <f t="shared" ref="G60:H60" si="1">AVERAGE(G5:G57)</f>
        <v>11.388679245283019</v>
      </c>
      <c r="H60" s="1">
        <f t="shared" si="1"/>
        <v>48.339622641509436</v>
      </c>
    </row>
    <row r="61" spans="1:14" x14ac:dyDescent="0.3">
      <c r="A61" s="24" t="s">
        <v>19</v>
      </c>
      <c r="B61" s="24"/>
      <c r="C61" s="24"/>
      <c r="D61" s="24"/>
    </row>
    <row r="62" spans="1:14" x14ac:dyDescent="0.3">
      <c r="A62" s="28" t="s">
        <v>8</v>
      </c>
      <c r="B62" s="6">
        <f>_xlfn.VAR.S( A5:A51)</f>
        <v>1.7224791859389457</v>
      </c>
      <c r="C62" s="1">
        <f>_xlfn.COVARIANCE.S(A5:A51,B5:B51)</f>
        <v>1.0569842738205362</v>
      </c>
      <c r="D62" s="7">
        <f>_xlfn.COVARIANCE.S(A5:A51,C5:C51)</f>
        <v>-0.10592044403330246</v>
      </c>
      <c r="G62" s="6" t="s">
        <v>9</v>
      </c>
      <c r="H62" s="1" t="s">
        <v>10</v>
      </c>
      <c r="I62" s="1" t="s">
        <v>11</v>
      </c>
    </row>
    <row r="63" spans="1:14" x14ac:dyDescent="0.3">
      <c r="A63" s="29"/>
      <c r="B63" s="1">
        <f>C62</f>
        <v>1.0569842738205362</v>
      </c>
      <c r="C63" s="6">
        <f>_xlfn.VAR.S(B5:B51)</f>
        <v>10.073441258094313</v>
      </c>
      <c r="D63" s="7">
        <f>_xlfn.COVARIANCE.S(B5:B51,C5:C51)</f>
        <v>-1.6623959296947273</v>
      </c>
      <c r="F63" s="1" t="s">
        <v>18</v>
      </c>
      <c r="G63" s="1" t="s">
        <v>14</v>
      </c>
      <c r="H63" s="6" t="s">
        <v>16</v>
      </c>
      <c r="I63" s="1" t="s">
        <v>15</v>
      </c>
    </row>
    <row r="64" spans="1:14" x14ac:dyDescent="0.3">
      <c r="A64" s="30"/>
      <c r="B64" s="8">
        <f>D62</f>
        <v>-0.10592044403330246</v>
      </c>
      <c r="C64" s="8">
        <f>D62</f>
        <v>-0.10592044403330246</v>
      </c>
      <c r="D64" s="9">
        <f>_xlfn.VAR.S(C5:C51)</f>
        <v>50.543015726179554</v>
      </c>
      <c r="G64" s="1" t="s">
        <v>12</v>
      </c>
      <c r="H64" s="1" t="s">
        <v>13</v>
      </c>
      <c r="I64" s="6" t="s">
        <v>17</v>
      </c>
    </row>
    <row r="67" spans="6:9" x14ac:dyDescent="0.3">
      <c r="F67" s="25" t="s">
        <v>20</v>
      </c>
      <c r="G67" s="26"/>
      <c r="H67" s="26"/>
      <c r="I67" s="27"/>
    </row>
    <row r="68" spans="6:9" x14ac:dyDescent="0.3">
      <c r="F68" s="29" t="s">
        <v>18</v>
      </c>
      <c r="G68" s="6">
        <f>_xlfn.VAR.S(F5:F57)</f>
        <v>1.5682148040638604</v>
      </c>
      <c r="H68" s="1">
        <f>_xlfn.COVARIANCE.S(F5:F57,G5:G57)</f>
        <v>-0.16331640058055166</v>
      </c>
      <c r="I68" s="7">
        <f>_xlfn.COVARIANCE.S(F5:F57,H5:H57)</f>
        <v>0.41872278664731544</v>
      </c>
    </row>
    <row r="69" spans="6:9" x14ac:dyDescent="0.3">
      <c r="F69" s="29"/>
      <c r="G69" s="1">
        <f>H68</f>
        <v>-0.16331640058055166</v>
      </c>
      <c r="H69" s="6">
        <f>_xlfn.VAR.S(G5:G57)</f>
        <v>16.092946298983982</v>
      </c>
      <c r="I69" s="7">
        <f>_xlfn.COVARIANCE.S(G5:G57,H5:H57)</f>
        <v>2.1635341074020307</v>
      </c>
    </row>
    <row r="70" spans="6:9" x14ac:dyDescent="0.3">
      <c r="F70" s="30"/>
      <c r="G70" s="8">
        <f>I68</f>
        <v>0.41872278664731544</v>
      </c>
      <c r="H70" s="8">
        <f>I69</f>
        <v>2.1635341074020307</v>
      </c>
      <c r="I70" s="9">
        <f>_xlfn.VAR.S(H5:H57)</f>
        <v>87.882438316400595</v>
      </c>
    </row>
  </sheetData>
  <mergeCells count="18">
    <mergeCell ref="A61:D61"/>
    <mergeCell ref="F67:I67"/>
    <mergeCell ref="A62:A64"/>
    <mergeCell ref="F68:F70"/>
    <mergeCell ref="P5:S5"/>
    <mergeCell ref="P10:S10"/>
    <mergeCell ref="A1:D1"/>
    <mergeCell ref="A52:D52"/>
    <mergeCell ref="P15:S15"/>
    <mergeCell ref="U10:X10"/>
    <mergeCell ref="K16:N16"/>
    <mergeCell ref="K32:N32"/>
    <mergeCell ref="K3:O3"/>
    <mergeCell ref="A2:D2"/>
    <mergeCell ref="F2:I2"/>
    <mergeCell ref="K50:N50"/>
    <mergeCell ref="K51:N51"/>
    <mergeCell ref="K52:N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EC51-1AD2-4370-BD98-1EF08F6BE108}">
  <dimension ref="A1:L101"/>
  <sheetViews>
    <sheetView tabSelected="1" topLeftCell="B1" zoomScale="68" workbookViewId="0">
      <selection activeCell="H17" sqref="H17"/>
    </sheetView>
  </sheetViews>
  <sheetFormatPr defaultRowHeight="13.8" x14ac:dyDescent="0.3"/>
  <cols>
    <col min="1" max="1" width="10" style="11" customWidth="1"/>
    <col min="2" max="2" width="11.88671875" style="11" customWidth="1"/>
    <col min="3" max="8" width="8.88671875" style="11"/>
    <col min="9" max="9" width="15" style="11" bestFit="1" customWidth="1"/>
    <col min="10" max="10" width="17.77734375" style="11" bestFit="1" customWidth="1"/>
    <col min="11" max="11" width="5.88671875" style="11" bestFit="1" customWidth="1"/>
    <col min="12" max="12" width="11.6640625" style="11" bestFit="1" customWidth="1"/>
    <col min="13" max="16384" width="8.88671875" style="1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47</v>
      </c>
      <c r="F1" s="4" t="s">
        <v>48</v>
      </c>
    </row>
    <row r="2" spans="1:12" x14ac:dyDescent="0.3">
      <c r="A2" s="2">
        <v>6</v>
      </c>
      <c r="B2" s="2">
        <v>10</v>
      </c>
      <c r="C2" s="5">
        <v>40</v>
      </c>
      <c r="D2" s="2" t="s">
        <v>4</v>
      </c>
      <c r="E2" s="5">
        <f>($J$5*A2)-($K$5*B2)-($L$5*C2)</f>
        <v>5.0173244219927495</v>
      </c>
      <c r="F2" s="5" t="str">
        <f>IF(E2&gt;=perhitungan!$L$48,"Bad","Good")</f>
        <v>Bad</v>
      </c>
      <c r="I2" s="33" t="s">
        <v>44</v>
      </c>
      <c r="J2" s="33"/>
      <c r="K2" s="33"/>
      <c r="L2" s="33"/>
    </row>
    <row r="3" spans="1:12" x14ac:dyDescent="0.3">
      <c r="A3" s="2">
        <v>1</v>
      </c>
      <c r="B3" s="2">
        <v>9</v>
      </c>
      <c r="C3" s="5">
        <v>50</v>
      </c>
      <c r="D3" s="2" t="s">
        <v>4</v>
      </c>
      <c r="E3" s="5">
        <f t="shared" ref="E3:E66" si="0">($J$5*A3)-($K$5*B3)-($L$5*C3)</f>
        <v>4.4547468426388086</v>
      </c>
      <c r="F3" s="5" t="str">
        <f>IF(E3&gt;=perhitungan!$L$48,"Bad","Good")</f>
        <v>Bad</v>
      </c>
      <c r="I3" s="32" t="s">
        <v>46</v>
      </c>
      <c r="J3" s="32"/>
      <c r="K3" s="32"/>
      <c r="L3" s="32"/>
    </row>
    <row r="4" spans="1:12" x14ac:dyDescent="0.3">
      <c r="A4" s="2">
        <v>2</v>
      </c>
      <c r="B4" s="2">
        <v>4.8</v>
      </c>
      <c r="C4" s="5">
        <v>36</v>
      </c>
      <c r="D4" s="2" t="s">
        <v>4</v>
      </c>
      <c r="E4" s="5">
        <f t="shared" si="0"/>
        <v>2.7988644088486927</v>
      </c>
      <c r="F4" s="5" t="str">
        <f>IF(E4&gt;=perhitungan!$L$48,"Bad","Good")</f>
        <v>Bad</v>
      </c>
      <c r="I4" s="32" t="s">
        <v>45</v>
      </c>
      <c r="J4" s="32"/>
      <c r="K4" s="32"/>
      <c r="L4" s="32"/>
    </row>
    <row r="5" spans="1:12" x14ac:dyDescent="0.3">
      <c r="A5" s="2">
        <v>0</v>
      </c>
      <c r="B5" s="2">
        <v>4.9000000000000004</v>
      </c>
      <c r="C5" s="5">
        <v>53</v>
      </c>
      <c r="D5" s="2" t="s">
        <v>4</v>
      </c>
      <c r="E5" s="5">
        <f t="shared" si="0"/>
        <v>3.1095141009748013</v>
      </c>
      <c r="F5" s="5" t="str">
        <f>IF(E5&gt;=perhitungan!$L$48,"Bad","Good")</f>
        <v>Bad</v>
      </c>
      <c r="I5" s="5" t="s">
        <v>41</v>
      </c>
      <c r="J5" s="5">
        <v>0.10535519338131186</v>
      </c>
      <c r="K5" s="5">
        <v>-0.32345712224960027</v>
      </c>
      <c r="L5" s="5">
        <v>-2.8765550980221884E-2</v>
      </c>
    </row>
    <row r="6" spans="1:12" x14ac:dyDescent="0.3">
      <c r="A6" s="2">
        <v>1</v>
      </c>
      <c r="B6" s="2">
        <v>4.7</v>
      </c>
      <c r="C6" s="5">
        <v>35</v>
      </c>
      <c r="D6" s="2" t="s">
        <v>4</v>
      </c>
      <c r="E6" s="5">
        <f t="shared" si="0"/>
        <v>2.632397952262199</v>
      </c>
      <c r="F6" s="5" t="str">
        <f>IF(E6&gt;=perhitungan!$L$48,"Bad","Good")</f>
        <v>Bad</v>
      </c>
    </row>
    <row r="7" spans="1:12" x14ac:dyDescent="0.3">
      <c r="A7" s="2">
        <v>3</v>
      </c>
      <c r="B7" s="2">
        <v>2.4</v>
      </c>
      <c r="C7" s="5">
        <v>45</v>
      </c>
      <c r="D7" s="2" t="s">
        <v>4</v>
      </c>
      <c r="E7" s="5">
        <f t="shared" si="0"/>
        <v>2.3868124676529607</v>
      </c>
      <c r="F7" s="5" t="str">
        <f>IF(E7&gt;=perhitungan!$L$48,"Bad","Good")</f>
        <v>Bad</v>
      </c>
    </row>
    <row r="8" spans="1:12" x14ac:dyDescent="0.3">
      <c r="A8" s="2">
        <v>3</v>
      </c>
      <c r="B8" s="2">
        <v>4.5999999999999996</v>
      </c>
      <c r="C8" s="5">
        <v>38</v>
      </c>
      <c r="D8" s="2" t="s">
        <v>4</v>
      </c>
      <c r="E8" s="5">
        <f t="shared" si="0"/>
        <v>2.8970592797405281</v>
      </c>
      <c r="F8" s="5" t="str">
        <f>IF(E8&gt;=perhitungan!$L$48,"Bad","Good")</f>
        <v>Bad</v>
      </c>
      <c r="I8" s="33" t="s">
        <v>57</v>
      </c>
      <c r="J8" s="33"/>
      <c r="K8" s="32" t="s">
        <v>56</v>
      </c>
      <c r="L8" s="32"/>
    </row>
    <row r="9" spans="1:12" x14ac:dyDescent="0.3">
      <c r="A9" s="2">
        <v>2</v>
      </c>
      <c r="B9" s="2">
        <v>4.9000000000000004</v>
      </c>
      <c r="C9" s="5">
        <v>57</v>
      </c>
      <c r="D9" s="2" t="s">
        <v>4</v>
      </c>
      <c r="E9" s="5">
        <f t="shared" si="0"/>
        <v>3.4352866916583125</v>
      </c>
      <c r="F9" s="5" t="str">
        <f>IF(E9&gt;=perhitungan!$L$48,"Bad","Good")</f>
        <v>Bad</v>
      </c>
      <c r="I9" s="33"/>
      <c r="J9" s="33"/>
      <c r="K9" s="5" t="s">
        <v>4</v>
      </c>
      <c r="L9" s="5" t="s">
        <v>5</v>
      </c>
    </row>
    <row r="10" spans="1:12" x14ac:dyDescent="0.3">
      <c r="A10" s="2">
        <v>4</v>
      </c>
      <c r="B10" s="2">
        <v>8</v>
      </c>
      <c r="C10" s="5">
        <v>36</v>
      </c>
      <c r="D10" s="2" t="s">
        <v>4</v>
      </c>
      <c r="E10" s="5">
        <f t="shared" si="0"/>
        <v>4.0446375868100368</v>
      </c>
      <c r="F10" s="5" t="str">
        <f>IF(E10&gt;=perhitungan!$L$48,"Bad","Good")</f>
        <v>Bad</v>
      </c>
      <c r="I10" s="32" t="s">
        <v>55</v>
      </c>
      <c r="J10" s="5" t="s">
        <v>4</v>
      </c>
      <c r="K10" s="5">
        <f>COUNTIFS(D:D, "Bad", F:F, "Bad")</f>
        <v>47</v>
      </c>
      <c r="L10" s="5">
        <f>COUNTIFS(D:D, "Bad", F:F, "Good")</f>
        <v>0</v>
      </c>
    </row>
    <row r="11" spans="1:12" x14ac:dyDescent="0.3">
      <c r="A11" s="2">
        <v>1</v>
      </c>
      <c r="B11" s="2">
        <v>8.3000000000000007</v>
      </c>
      <c r="C11" s="5">
        <v>50</v>
      </c>
      <c r="D11" s="2" t="s">
        <v>4</v>
      </c>
      <c r="E11" s="5">
        <f t="shared" si="0"/>
        <v>4.2283268570640882</v>
      </c>
      <c r="F11" s="5" t="str">
        <f>IF(E11&gt;=perhitungan!$L$48,"Bad","Good")</f>
        <v>Bad</v>
      </c>
      <c r="I11" s="32"/>
      <c r="J11" s="5" t="s">
        <v>5</v>
      </c>
      <c r="K11" s="5">
        <f>COUNTIFS(D:D, "Good", F:F, "Bad")</f>
        <v>53</v>
      </c>
      <c r="L11" s="5">
        <f>COUNTIFS(D:D, "Good", F:F, "Good")</f>
        <v>0</v>
      </c>
    </row>
    <row r="12" spans="1:12" x14ac:dyDescent="0.3">
      <c r="A12" s="2">
        <v>3</v>
      </c>
      <c r="B12" s="2">
        <v>8</v>
      </c>
      <c r="C12" s="5">
        <v>50</v>
      </c>
      <c r="D12" s="2" t="s">
        <v>4</v>
      </c>
      <c r="E12" s="5">
        <f t="shared" si="0"/>
        <v>4.3420001071518319</v>
      </c>
      <c r="F12" s="5" t="str">
        <f>IF(E12&gt;=perhitungan!$L$48,"Bad","Good")</f>
        <v>Bad</v>
      </c>
    </row>
    <row r="13" spans="1:12" x14ac:dyDescent="0.3">
      <c r="A13" s="2">
        <v>1</v>
      </c>
      <c r="B13" s="2">
        <v>4.2</v>
      </c>
      <c r="C13" s="5">
        <v>37</v>
      </c>
      <c r="D13" s="2" t="s">
        <v>4</v>
      </c>
      <c r="E13" s="5">
        <f t="shared" si="0"/>
        <v>2.5282004930978426</v>
      </c>
      <c r="F13" s="5" t="str">
        <f>IF(E13&gt;=perhitungan!$L$48,"Bad","Good")</f>
        <v>Bad</v>
      </c>
      <c r="I13" s="11" t="s">
        <v>62</v>
      </c>
    </row>
    <row r="14" spans="1:12" x14ac:dyDescent="0.25">
      <c r="A14" s="2">
        <v>2</v>
      </c>
      <c r="B14" s="2">
        <v>3.1</v>
      </c>
      <c r="C14" s="5">
        <v>56</v>
      </c>
      <c r="D14" s="2" t="s">
        <v>4</v>
      </c>
      <c r="E14" s="5">
        <f t="shared" si="0"/>
        <v>2.8242983206288104</v>
      </c>
      <c r="F14" s="5" t="str">
        <f>IF(E14&gt;=perhitungan!$L$48,"Bad","Good")</f>
        <v>Bad</v>
      </c>
      <c r="I14" s="12" t="s">
        <v>61</v>
      </c>
      <c r="J14" s="12" t="s">
        <v>60</v>
      </c>
      <c r="K14" s="13"/>
      <c r="L14" s="13"/>
    </row>
    <row r="15" spans="1:12" x14ac:dyDescent="0.25">
      <c r="A15" s="2">
        <v>2</v>
      </c>
      <c r="B15" s="2">
        <v>6.8</v>
      </c>
      <c r="C15" s="5">
        <v>41</v>
      </c>
      <c r="D15" s="2" t="s">
        <v>4</v>
      </c>
      <c r="E15" s="5">
        <f t="shared" si="0"/>
        <v>3.5896064082490029</v>
      </c>
      <c r="F15" s="5" t="str">
        <f>IF(E15&gt;=perhitungan!$L$48,"Bad","Good")</f>
        <v>Bad</v>
      </c>
      <c r="I15" s="12" t="s">
        <v>58</v>
      </c>
      <c r="J15" s="13" t="s">
        <v>4</v>
      </c>
      <c r="K15" s="13" t="s">
        <v>5</v>
      </c>
      <c r="L15" s="13" t="s">
        <v>59</v>
      </c>
    </row>
    <row r="16" spans="1:12" x14ac:dyDescent="0.25">
      <c r="A16" s="2">
        <v>2</v>
      </c>
      <c r="B16" s="2">
        <v>7.4</v>
      </c>
      <c r="C16" s="5">
        <v>35</v>
      </c>
      <c r="D16" s="2" t="s">
        <v>4</v>
      </c>
      <c r="E16" s="5">
        <f t="shared" si="0"/>
        <v>3.6110873757174318</v>
      </c>
      <c r="F16" s="5" t="str">
        <f>IF(E16&gt;=perhitungan!$L$48,"Bad","Good")</f>
        <v>Bad</v>
      </c>
      <c r="I16" s="14" t="s">
        <v>4</v>
      </c>
      <c r="J16" s="34">
        <v>40</v>
      </c>
      <c r="K16" s="34">
        <v>7</v>
      </c>
      <c r="L16" s="34">
        <v>47</v>
      </c>
    </row>
    <row r="17" spans="1:12" x14ac:dyDescent="0.25">
      <c r="A17" s="2">
        <v>1</v>
      </c>
      <c r="B17" s="2">
        <v>7</v>
      </c>
      <c r="C17" s="5">
        <v>35</v>
      </c>
      <c r="D17" s="2" t="s">
        <v>4</v>
      </c>
      <c r="E17" s="5">
        <f t="shared" si="0"/>
        <v>3.3763493334362797</v>
      </c>
      <c r="F17" s="5" t="str">
        <f>IF(E17&gt;=perhitungan!$L$48,"Bad","Good")</f>
        <v>Bad</v>
      </c>
      <c r="I17" s="14" t="s">
        <v>5</v>
      </c>
      <c r="J17" s="34">
        <v>13</v>
      </c>
      <c r="K17" s="34">
        <v>40</v>
      </c>
      <c r="L17" s="34">
        <v>53</v>
      </c>
    </row>
    <row r="18" spans="1:12" x14ac:dyDescent="0.25">
      <c r="A18" s="2">
        <v>1</v>
      </c>
      <c r="B18" s="2">
        <v>7.8</v>
      </c>
      <c r="C18" s="5">
        <v>49</v>
      </c>
      <c r="D18" s="2" t="s">
        <v>4</v>
      </c>
      <c r="E18" s="5">
        <f t="shared" si="0"/>
        <v>4.0378327449590667</v>
      </c>
      <c r="F18" s="5" t="str">
        <f>IF(E18&gt;=perhitungan!$L$48,"Bad","Good")</f>
        <v>Bad</v>
      </c>
      <c r="I18" s="14" t="s">
        <v>59</v>
      </c>
      <c r="J18" s="34">
        <v>53</v>
      </c>
      <c r="K18" s="34">
        <v>47</v>
      </c>
      <c r="L18" s="34">
        <v>100</v>
      </c>
    </row>
    <row r="19" spans="1:12" ht="14.4" x14ac:dyDescent="0.3">
      <c r="A19" s="2">
        <v>1</v>
      </c>
      <c r="B19" s="2">
        <v>8.1999999999999993</v>
      </c>
      <c r="C19" s="5">
        <v>50</v>
      </c>
      <c r="D19" s="2" t="s">
        <v>4</v>
      </c>
      <c r="E19" s="5">
        <f t="shared" si="0"/>
        <v>4.195981144839128</v>
      </c>
      <c r="F19" s="5" t="str">
        <f>IF(E19&gt;=perhitungan!$L$48,"Bad","Good")</f>
        <v>Bad</v>
      </c>
      <c r="I19"/>
      <c r="J19"/>
      <c r="K19"/>
    </row>
    <row r="20" spans="1:12" ht="14.4" x14ac:dyDescent="0.3">
      <c r="A20" s="2">
        <v>0</v>
      </c>
      <c r="B20" s="2">
        <v>4.5</v>
      </c>
      <c r="C20" s="5">
        <v>44</v>
      </c>
      <c r="D20" s="2" t="s">
        <v>4</v>
      </c>
      <c r="E20" s="5">
        <f t="shared" si="0"/>
        <v>2.7212412932529642</v>
      </c>
      <c r="F20" s="5" t="str">
        <f>IF(E20&gt;=perhitungan!$L$48,"Bad","Good")</f>
        <v>Bad</v>
      </c>
      <c r="I20"/>
      <c r="J20"/>
      <c r="K20"/>
    </row>
    <row r="21" spans="1:12" ht="14.4" x14ac:dyDescent="0.3">
      <c r="A21" s="2">
        <v>3</v>
      </c>
      <c r="B21" s="2">
        <v>8.1</v>
      </c>
      <c r="C21" s="5">
        <v>40</v>
      </c>
      <c r="D21" s="2" t="s">
        <v>4</v>
      </c>
      <c r="E21" s="5">
        <f t="shared" si="0"/>
        <v>4.086690309574573</v>
      </c>
      <c r="F21" s="5" t="str">
        <f>IF(E21&gt;=perhitungan!$L$48,"Bad","Good")</f>
        <v>Bad</v>
      </c>
      <c r="I21"/>
      <c r="J21"/>
      <c r="K21"/>
    </row>
    <row r="22" spans="1:12" ht="14.4" x14ac:dyDescent="0.3">
      <c r="A22" s="2">
        <v>2</v>
      </c>
      <c r="B22" s="2">
        <v>6.6</v>
      </c>
      <c r="C22" s="5">
        <v>49</v>
      </c>
      <c r="D22" s="2" t="s">
        <v>4</v>
      </c>
      <c r="E22" s="5">
        <f t="shared" si="0"/>
        <v>3.755039391640858</v>
      </c>
      <c r="F22" s="5" t="str">
        <f>IF(E22&gt;=perhitungan!$L$48,"Bad","Good")</f>
        <v>Bad</v>
      </c>
      <c r="I22"/>
      <c r="J22"/>
      <c r="K22"/>
    </row>
    <row r="23" spans="1:12" ht="14.4" x14ac:dyDescent="0.3">
      <c r="A23" s="2">
        <v>4</v>
      </c>
      <c r="B23" s="2">
        <v>19.8</v>
      </c>
      <c r="C23" s="5">
        <v>42</v>
      </c>
      <c r="D23" s="2" t="s">
        <v>4</v>
      </c>
      <c r="E23" s="5">
        <f t="shared" si="0"/>
        <v>8.0340249352366513</v>
      </c>
      <c r="F23" s="5" t="str">
        <f>IF(E23&gt;=perhitungan!$L$48,"Bad","Good")</f>
        <v>Bad</v>
      </c>
      <c r="I23"/>
      <c r="J23"/>
      <c r="K23"/>
    </row>
    <row r="24" spans="1:12" ht="14.4" x14ac:dyDescent="0.3">
      <c r="A24" s="2">
        <v>1</v>
      </c>
      <c r="B24" s="2">
        <v>7.8</v>
      </c>
      <c r="C24" s="5">
        <v>35</v>
      </c>
      <c r="D24" s="2" t="s">
        <v>4</v>
      </c>
      <c r="E24" s="5">
        <f t="shared" si="0"/>
        <v>3.6351150312359599</v>
      </c>
      <c r="F24" s="5" t="str">
        <f>IF(E24&gt;=perhitungan!$L$48,"Bad","Good")</f>
        <v>Bad</v>
      </c>
      <c r="I24"/>
      <c r="J24"/>
      <c r="K24"/>
    </row>
    <row r="25" spans="1:12" ht="14.4" x14ac:dyDescent="0.3">
      <c r="A25" s="2">
        <v>2</v>
      </c>
      <c r="B25" s="2">
        <v>4.5999999999999996</v>
      </c>
      <c r="C25" s="5">
        <v>47</v>
      </c>
      <c r="D25" s="2" t="s">
        <v>4</v>
      </c>
      <c r="E25" s="5">
        <f t="shared" si="0"/>
        <v>3.0505940451812132</v>
      </c>
      <c r="F25" s="5" t="str">
        <f>IF(E25&gt;=perhitungan!$L$48,"Bad","Good")</f>
        <v>Bad</v>
      </c>
      <c r="I25"/>
      <c r="J25"/>
      <c r="K25"/>
    </row>
    <row r="26" spans="1:12" ht="14.4" x14ac:dyDescent="0.3">
      <c r="A26" s="2">
        <v>0</v>
      </c>
      <c r="B26" s="2">
        <v>7.4</v>
      </c>
      <c r="C26" s="5">
        <v>46</v>
      </c>
      <c r="D26" s="2" t="s">
        <v>4</v>
      </c>
      <c r="E26" s="5">
        <f t="shared" si="0"/>
        <v>3.7167980497372488</v>
      </c>
      <c r="F26" s="5" t="str">
        <f>IF(E26&gt;=perhitungan!$L$48,"Bad","Good")</f>
        <v>Bad</v>
      </c>
      <c r="I26"/>
      <c r="J26"/>
      <c r="K26"/>
    </row>
    <row r="27" spans="1:12" ht="14.4" x14ac:dyDescent="0.3">
      <c r="A27" s="2">
        <v>4</v>
      </c>
      <c r="B27" s="2">
        <v>5.5</v>
      </c>
      <c r="C27" s="5">
        <v>47</v>
      </c>
      <c r="D27" s="2" t="s">
        <v>4</v>
      </c>
      <c r="E27" s="5">
        <f t="shared" si="0"/>
        <v>3.552415841968477</v>
      </c>
      <c r="F27" s="5" t="str">
        <f>IF(E27&gt;=perhitungan!$L$48,"Bad","Good")</f>
        <v>Bad</v>
      </c>
      <c r="I27"/>
      <c r="J27"/>
      <c r="K27"/>
    </row>
    <row r="28" spans="1:12" ht="14.4" x14ac:dyDescent="0.3">
      <c r="A28" s="2">
        <v>3</v>
      </c>
      <c r="B28" s="2">
        <v>16.399999999999999</v>
      </c>
      <c r="C28" s="5">
        <v>54</v>
      </c>
      <c r="D28" s="2" t="s">
        <v>4</v>
      </c>
      <c r="E28" s="5">
        <f t="shared" si="0"/>
        <v>7.1741021379693617</v>
      </c>
      <c r="F28" s="5" t="str">
        <f>IF(E28&gt;=perhitungan!$L$48,"Bad","Good")</f>
        <v>Bad</v>
      </c>
      <c r="I28"/>
      <c r="J28"/>
      <c r="K28"/>
    </row>
    <row r="29" spans="1:12" ht="14.4" x14ac:dyDescent="0.3">
      <c r="A29" s="2">
        <v>1</v>
      </c>
      <c r="B29" s="2">
        <v>7.6</v>
      </c>
      <c r="C29" s="5">
        <v>35</v>
      </c>
      <c r="D29" s="2" t="s">
        <v>4</v>
      </c>
      <c r="E29" s="5">
        <f t="shared" si="0"/>
        <v>3.5704236067860395</v>
      </c>
      <c r="F29" s="5" t="str">
        <f>IF(E29&gt;=perhitungan!$L$48,"Bad","Good")</f>
        <v>Bad</v>
      </c>
      <c r="I29"/>
      <c r="J29"/>
      <c r="K29"/>
    </row>
    <row r="30" spans="1:12" ht="14.4" x14ac:dyDescent="0.3">
      <c r="A30" s="2">
        <v>2</v>
      </c>
      <c r="B30" s="2">
        <v>4.9000000000000004</v>
      </c>
      <c r="C30" s="5">
        <v>56</v>
      </c>
      <c r="D30" s="2" t="s">
        <v>4</v>
      </c>
      <c r="E30" s="5">
        <f t="shared" si="0"/>
        <v>3.4065211406780906</v>
      </c>
      <c r="F30" s="5" t="str">
        <f>IF(E30&gt;=perhitungan!$L$48,"Bad","Good")</f>
        <v>Bad</v>
      </c>
      <c r="I30"/>
      <c r="J30"/>
      <c r="K30"/>
    </row>
    <row r="31" spans="1:12" ht="14.4" x14ac:dyDescent="0.3">
      <c r="A31" s="2">
        <v>2</v>
      </c>
      <c r="B31" s="2">
        <v>4.2</v>
      </c>
      <c r="C31" s="5">
        <v>56</v>
      </c>
      <c r="D31" s="2" t="s">
        <v>4</v>
      </c>
      <c r="E31" s="5">
        <f t="shared" si="0"/>
        <v>3.1801011551033707</v>
      </c>
      <c r="F31" s="5" t="str">
        <f>IF(E31&gt;=perhitungan!$L$48,"Bad","Good")</f>
        <v>Bad</v>
      </c>
      <c r="I31"/>
      <c r="J31"/>
      <c r="K31"/>
    </row>
    <row r="32" spans="1:12" x14ac:dyDescent="0.3">
      <c r="A32" s="2">
        <v>1</v>
      </c>
      <c r="B32" s="2">
        <v>9</v>
      </c>
      <c r="C32" s="5">
        <v>38</v>
      </c>
      <c r="D32" s="2" t="s">
        <v>4</v>
      </c>
      <c r="E32" s="5">
        <f t="shared" si="0"/>
        <v>4.1095602308761459</v>
      </c>
      <c r="F32" s="5" t="str">
        <f>IF(E32&gt;=perhitungan!$L$48,"Bad","Good")</f>
        <v>Bad</v>
      </c>
    </row>
    <row r="33" spans="1:6" x14ac:dyDescent="0.3">
      <c r="A33" s="2">
        <v>4</v>
      </c>
      <c r="B33" s="2">
        <v>9.1999999999999993</v>
      </c>
      <c r="C33" s="5">
        <v>40</v>
      </c>
      <c r="D33" s="2" t="s">
        <v>4</v>
      </c>
      <c r="E33" s="5">
        <f t="shared" si="0"/>
        <v>4.5478483374304446</v>
      </c>
      <c r="F33" s="5" t="str">
        <f>IF(E33&gt;=perhitungan!$L$48,"Bad","Good")</f>
        <v>Bad</v>
      </c>
    </row>
    <row r="34" spans="1:6" x14ac:dyDescent="0.3">
      <c r="A34" s="2">
        <v>5</v>
      </c>
      <c r="B34" s="2">
        <v>4.5999999999999996</v>
      </c>
      <c r="C34" s="5">
        <v>50</v>
      </c>
      <c r="D34" s="2" t="s">
        <v>4</v>
      </c>
      <c r="E34" s="5">
        <f t="shared" si="0"/>
        <v>3.4529562782658147</v>
      </c>
      <c r="F34" s="5" t="str">
        <f>IF(E34&gt;=perhitungan!$L$48,"Bad","Good")</f>
        <v>Bad</v>
      </c>
    </row>
    <row r="35" spans="1:6" x14ac:dyDescent="0.3">
      <c r="A35" s="2">
        <v>2</v>
      </c>
      <c r="B35" s="2">
        <v>6.4</v>
      </c>
      <c r="C35" s="5">
        <v>59</v>
      </c>
      <c r="D35" s="2" t="s">
        <v>4</v>
      </c>
      <c r="E35" s="5">
        <f t="shared" si="0"/>
        <v>3.9780034769931572</v>
      </c>
      <c r="F35" s="5" t="str">
        <f>IF(E35&gt;=perhitungan!$L$48,"Bad","Good")</f>
        <v>Bad</v>
      </c>
    </row>
    <row r="36" spans="1:6" x14ac:dyDescent="0.3">
      <c r="A36" s="2">
        <v>2</v>
      </c>
      <c r="B36" s="2">
        <v>6</v>
      </c>
      <c r="C36" s="5">
        <v>42</v>
      </c>
      <c r="D36" s="2" t="s">
        <v>4</v>
      </c>
      <c r="E36" s="5">
        <f t="shared" si="0"/>
        <v>3.3596062614295445</v>
      </c>
      <c r="F36" s="5" t="str">
        <f>IF(E36&gt;=perhitungan!$L$48,"Bad","Good")</f>
        <v>Bad</v>
      </c>
    </row>
    <row r="37" spans="1:6" x14ac:dyDescent="0.3">
      <c r="A37" s="2">
        <v>1</v>
      </c>
      <c r="B37" s="2">
        <v>10.5</v>
      </c>
      <c r="C37" s="5">
        <v>46</v>
      </c>
      <c r="D37" s="2" t="s">
        <v>4</v>
      </c>
      <c r="E37" s="5">
        <f t="shared" si="0"/>
        <v>4.8248703220923215</v>
      </c>
      <c r="F37" s="5" t="str">
        <f>IF(E37&gt;=perhitungan!$L$48,"Bad","Good")</f>
        <v>Bad</v>
      </c>
    </row>
    <row r="38" spans="1:6" x14ac:dyDescent="0.3">
      <c r="A38" s="2">
        <v>2</v>
      </c>
      <c r="B38" s="2">
        <v>8.9</v>
      </c>
      <c r="C38" s="5">
        <v>56</v>
      </c>
      <c r="D38" s="2" t="s">
        <v>4</v>
      </c>
      <c r="E38" s="5">
        <f t="shared" si="0"/>
        <v>4.7003496296764915</v>
      </c>
      <c r="F38" s="5" t="str">
        <f>IF(E38&gt;=perhitungan!$L$48,"Bad","Good")</f>
        <v>Bad</v>
      </c>
    </row>
    <row r="39" spans="1:6" x14ac:dyDescent="0.3">
      <c r="A39" s="2">
        <v>3</v>
      </c>
      <c r="B39" s="2">
        <v>12.1</v>
      </c>
      <c r="C39" s="5">
        <v>43</v>
      </c>
      <c r="D39" s="2" t="s">
        <v>4</v>
      </c>
      <c r="E39" s="5">
        <f t="shared" si="0"/>
        <v>5.4668154515136393</v>
      </c>
      <c r="F39" s="5" t="str">
        <f>IF(E39&gt;=perhitungan!$L$48,"Bad","Good")</f>
        <v>Bad</v>
      </c>
    </row>
    <row r="40" spans="1:6" x14ac:dyDescent="0.3">
      <c r="A40" s="2">
        <v>4</v>
      </c>
      <c r="B40" s="2">
        <v>9.5</v>
      </c>
      <c r="C40" s="5">
        <v>54</v>
      </c>
      <c r="D40" s="2" t="s">
        <v>4</v>
      </c>
      <c r="E40" s="5">
        <f t="shared" si="0"/>
        <v>5.0476031878284315</v>
      </c>
      <c r="F40" s="5" t="str">
        <f>IF(E40&gt;=perhitungan!$L$48,"Bad","Good")</f>
        <v>Bad</v>
      </c>
    </row>
    <row r="41" spans="1:6" x14ac:dyDescent="0.3">
      <c r="A41" s="2">
        <v>2</v>
      </c>
      <c r="B41" s="2">
        <v>9.1</v>
      </c>
      <c r="C41" s="5">
        <v>45</v>
      </c>
      <c r="D41" s="2" t="s">
        <v>4</v>
      </c>
      <c r="E41" s="5">
        <f t="shared" si="0"/>
        <v>4.4486199933439714</v>
      </c>
      <c r="F41" s="5" t="str">
        <f>IF(E41&gt;=perhitungan!$L$48,"Bad","Good")</f>
        <v>Bad</v>
      </c>
    </row>
    <row r="42" spans="1:6" x14ac:dyDescent="0.3">
      <c r="A42" s="2">
        <v>3</v>
      </c>
      <c r="B42" s="2">
        <v>7.1</v>
      </c>
      <c r="C42" s="5">
        <v>55</v>
      </c>
      <c r="D42" s="2" t="s">
        <v>4</v>
      </c>
      <c r="E42" s="5">
        <f t="shared" si="0"/>
        <v>4.1947164520283007</v>
      </c>
      <c r="F42" s="5" t="str">
        <f>IF(E42&gt;=perhitungan!$L$48,"Bad","Good")</f>
        <v>Bad</v>
      </c>
    </row>
    <row r="43" spans="1:6" x14ac:dyDescent="0.3">
      <c r="A43" s="2">
        <v>3</v>
      </c>
      <c r="B43" s="2">
        <v>4.0999999999999996</v>
      </c>
      <c r="C43" s="5">
        <v>51</v>
      </c>
      <c r="D43" s="2" t="s">
        <v>4</v>
      </c>
      <c r="E43" s="5">
        <f t="shared" si="0"/>
        <v>3.1092828813586126</v>
      </c>
      <c r="F43" s="5" t="str">
        <f>IF(E43&gt;=perhitungan!$L$48,"Bad","Good")</f>
        <v>Bad</v>
      </c>
    </row>
    <row r="44" spans="1:6" x14ac:dyDescent="0.3">
      <c r="A44" s="2">
        <v>3</v>
      </c>
      <c r="B44" s="2">
        <v>4.4000000000000004</v>
      </c>
      <c r="C44" s="5">
        <v>42</v>
      </c>
      <c r="D44" s="2" t="s">
        <v>4</v>
      </c>
      <c r="E44" s="5">
        <f t="shared" si="0"/>
        <v>2.9474300592114959</v>
      </c>
      <c r="F44" s="5" t="str">
        <f>IF(E44&gt;=perhitungan!$L$48,"Bad","Good")</f>
        <v>Bad</v>
      </c>
    </row>
    <row r="45" spans="1:6" x14ac:dyDescent="0.3">
      <c r="A45" s="2">
        <v>1</v>
      </c>
      <c r="B45" s="2">
        <v>5.2</v>
      </c>
      <c r="C45" s="5">
        <v>50</v>
      </c>
      <c r="D45" s="2" t="s">
        <v>4</v>
      </c>
      <c r="E45" s="5">
        <f t="shared" si="0"/>
        <v>3.2256097780903277</v>
      </c>
      <c r="F45" s="5" t="str">
        <f>IF(E45&gt;=perhitungan!$L$48,"Bad","Good")</f>
        <v>Bad</v>
      </c>
    </row>
    <row r="46" spans="1:6" x14ac:dyDescent="0.3">
      <c r="A46" s="2">
        <v>1</v>
      </c>
      <c r="B46" s="2">
        <v>4.2</v>
      </c>
      <c r="C46" s="5">
        <v>49</v>
      </c>
      <c r="D46" s="2" t="s">
        <v>4</v>
      </c>
      <c r="E46" s="5">
        <f t="shared" si="0"/>
        <v>2.8733871048605053</v>
      </c>
      <c r="F46" s="5" t="str">
        <f>IF(E46&gt;=perhitungan!$L$48,"Bad","Good")</f>
        <v>Bad</v>
      </c>
    </row>
    <row r="47" spans="1:6" x14ac:dyDescent="0.3">
      <c r="A47" s="2">
        <v>1</v>
      </c>
      <c r="B47" s="2">
        <v>6.5</v>
      </c>
      <c r="C47" s="5">
        <v>50</v>
      </c>
      <c r="D47" s="2" t="s">
        <v>4</v>
      </c>
      <c r="E47" s="5">
        <f t="shared" si="0"/>
        <v>3.6461040370148075</v>
      </c>
      <c r="F47" s="5" t="str">
        <f>IF(E47&gt;=perhitungan!$L$48,"Bad","Good")</f>
        <v>Bad</v>
      </c>
    </row>
    <row r="48" spans="1:6" x14ac:dyDescent="0.3">
      <c r="A48" s="2">
        <v>2</v>
      </c>
      <c r="B48" s="2">
        <v>6.8</v>
      </c>
      <c r="C48" s="5">
        <v>47</v>
      </c>
      <c r="D48" s="2" t="s">
        <v>4</v>
      </c>
      <c r="E48" s="5">
        <f t="shared" si="0"/>
        <v>3.7621997141303343</v>
      </c>
      <c r="F48" s="5" t="str">
        <f>IF(E48&gt;=perhitungan!$L$48,"Bad","Good")</f>
        <v>Bad</v>
      </c>
    </row>
    <row r="49" spans="1:6" x14ac:dyDescent="0.3">
      <c r="A49" s="2">
        <v>1</v>
      </c>
      <c r="B49" s="2">
        <v>16.7</v>
      </c>
      <c r="C49" s="5">
        <v>61</v>
      </c>
      <c r="D49" s="2" t="s">
        <v>5</v>
      </c>
      <c r="E49" s="5">
        <f t="shared" si="0"/>
        <v>7.2617877447431711</v>
      </c>
      <c r="F49" s="5" t="str">
        <f>IF(E49&gt;=perhitungan!$L$48,"Bad","Good")</f>
        <v>Bad</v>
      </c>
    </row>
    <row r="50" spans="1:6" x14ac:dyDescent="0.3">
      <c r="A50" s="2">
        <v>5</v>
      </c>
      <c r="B50" s="2">
        <v>11.8</v>
      </c>
      <c r="C50" s="5">
        <v>34</v>
      </c>
      <c r="D50" s="2" t="s">
        <v>5</v>
      </c>
      <c r="E50" s="5">
        <f t="shared" si="0"/>
        <v>5.3215987427793863</v>
      </c>
      <c r="F50" s="5" t="str">
        <f>IF(E50&gt;=perhitungan!$L$48,"Bad","Good")</f>
        <v>Bad</v>
      </c>
    </row>
    <row r="51" spans="1:6" x14ac:dyDescent="0.3">
      <c r="A51" s="2">
        <v>2</v>
      </c>
      <c r="B51" s="2">
        <v>10.6</v>
      </c>
      <c r="C51" s="5">
        <v>31</v>
      </c>
      <c r="D51" s="2" t="s">
        <v>5</v>
      </c>
      <c r="E51" s="5">
        <f t="shared" si="0"/>
        <v>4.5310879629952652</v>
      </c>
      <c r="F51" s="5" t="str">
        <f>IF(E51&gt;=perhitungan!$L$48,"Bad","Good")</f>
        <v>Bad</v>
      </c>
    </row>
    <row r="52" spans="1:6" x14ac:dyDescent="0.3">
      <c r="A52" s="2">
        <v>3</v>
      </c>
      <c r="B52" s="2">
        <v>6</v>
      </c>
      <c r="C52" s="5">
        <v>60</v>
      </c>
      <c r="D52" s="2" t="s">
        <v>5</v>
      </c>
      <c r="E52" s="5">
        <f t="shared" si="0"/>
        <v>3.9827413724548499</v>
      </c>
      <c r="F52" s="5" t="str">
        <f>IF(E52&gt;=perhitungan!$L$48,"Bad","Good")</f>
        <v>Bad</v>
      </c>
    </row>
    <row r="53" spans="1:6" x14ac:dyDescent="0.3">
      <c r="A53" s="2">
        <v>2</v>
      </c>
      <c r="B53" s="2">
        <v>13.6</v>
      </c>
      <c r="C53" s="5">
        <v>47</v>
      </c>
      <c r="D53" s="2" t="s">
        <v>5</v>
      </c>
      <c r="E53" s="5">
        <f t="shared" si="0"/>
        <v>5.9617081454276155</v>
      </c>
      <c r="F53" s="5" t="str">
        <f>IF(E53&gt;=perhitungan!$L$48,"Bad","Good")</f>
        <v>Bad</v>
      </c>
    </row>
    <row r="54" spans="1:6" x14ac:dyDescent="0.3">
      <c r="A54" s="2">
        <v>0</v>
      </c>
      <c r="B54" s="2">
        <v>8.5</v>
      </c>
      <c r="C54" s="5">
        <v>50</v>
      </c>
      <c r="D54" s="2" t="s">
        <v>5</v>
      </c>
      <c r="E54" s="5">
        <f t="shared" si="0"/>
        <v>4.1876630881326964</v>
      </c>
      <c r="F54" s="5" t="str">
        <f>IF(E54&gt;=perhitungan!$L$48,"Bad","Good")</f>
        <v>Bad</v>
      </c>
    </row>
    <row r="55" spans="1:6" x14ac:dyDescent="0.3">
      <c r="A55" s="2">
        <v>2</v>
      </c>
      <c r="B55" s="2">
        <v>10.1</v>
      </c>
      <c r="C55" s="5">
        <v>51</v>
      </c>
      <c r="D55" s="2" t="s">
        <v>5</v>
      </c>
      <c r="E55" s="5">
        <f t="shared" si="0"/>
        <v>4.9446704214749024</v>
      </c>
      <c r="F55" s="5" t="str">
        <f>IF(E55&gt;=perhitungan!$L$48,"Bad","Good")</f>
        <v>Bad</v>
      </c>
    </row>
    <row r="56" spans="1:6" x14ac:dyDescent="0.3">
      <c r="A56" s="2">
        <v>0</v>
      </c>
      <c r="B56" s="2">
        <v>14.1</v>
      </c>
      <c r="C56" s="5">
        <v>51</v>
      </c>
      <c r="D56" s="2" t="s">
        <v>5</v>
      </c>
      <c r="E56" s="5">
        <f t="shared" si="0"/>
        <v>6.0277885237106794</v>
      </c>
      <c r="F56" s="5" t="str">
        <f>IF(E56&gt;=perhitungan!$L$48,"Bad","Good")</f>
        <v>Bad</v>
      </c>
    </row>
    <row r="57" spans="1:6" x14ac:dyDescent="0.3">
      <c r="A57" s="2">
        <v>0</v>
      </c>
      <c r="B57" s="2">
        <v>8.4</v>
      </c>
      <c r="C57" s="5">
        <v>48</v>
      </c>
      <c r="D57" s="2" t="s">
        <v>5</v>
      </c>
      <c r="E57" s="5">
        <f t="shared" si="0"/>
        <v>4.0977862739472926</v>
      </c>
      <c r="F57" s="5" t="str">
        <f>IF(E57&gt;=perhitungan!$L$48,"Bad","Good")</f>
        <v>Bad</v>
      </c>
    </row>
    <row r="58" spans="1:6" x14ac:dyDescent="0.3">
      <c r="A58" s="2">
        <v>2</v>
      </c>
      <c r="B58" s="2">
        <v>9.1999999999999993</v>
      </c>
      <c r="C58" s="5">
        <v>61</v>
      </c>
      <c r="D58" s="2" t="s">
        <v>5</v>
      </c>
      <c r="E58" s="5">
        <f t="shared" si="0"/>
        <v>4.9412145212524807</v>
      </c>
      <c r="F58" s="5" t="str">
        <f>IF(E58&gt;=perhitungan!$L$48,"Bad","Good")</f>
        <v>Bad</v>
      </c>
    </row>
    <row r="59" spans="1:6" x14ac:dyDescent="0.3">
      <c r="A59" s="2">
        <v>2</v>
      </c>
      <c r="B59" s="2">
        <v>7.7</v>
      </c>
      <c r="C59" s="5">
        <v>59</v>
      </c>
      <c r="D59" s="2" t="s">
        <v>5</v>
      </c>
      <c r="E59" s="5">
        <f t="shared" si="0"/>
        <v>4.3984977359176369</v>
      </c>
      <c r="F59" s="5" t="str">
        <f>IF(E59&gt;=perhitungan!$L$48,"Bad","Good")</f>
        <v>Bad</v>
      </c>
    </row>
    <row r="60" spans="1:6" x14ac:dyDescent="0.3">
      <c r="A60" s="2">
        <v>2</v>
      </c>
      <c r="B60" s="2">
        <v>10.7</v>
      </c>
      <c r="C60" s="5">
        <v>40</v>
      </c>
      <c r="D60" s="2" t="s">
        <v>5</v>
      </c>
      <c r="E60" s="5">
        <f t="shared" si="0"/>
        <v>4.8223236340422222</v>
      </c>
      <c r="F60" s="5" t="str">
        <f>IF(E60&gt;=perhitungan!$L$48,"Bad","Good")</f>
        <v>Bad</v>
      </c>
    </row>
    <row r="61" spans="1:6" x14ac:dyDescent="0.3">
      <c r="A61" s="2">
        <v>2</v>
      </c>
      <c r="B61" s="2">
        <v>12.5</v>
      </c>
      <c r="C61" s="5">
        <v>47</v>
      </c>
      <c r="D61" s="2" t="s">
        <v>5</v>
      </c>
      <c r="E61" s="5">
        <f t="shared" si="0"/>
        <v>5.6059053109530552</v>
      </c>
      <c r="F61" s="5" t="str">
        <f>IF(E61&gt;=perhitungan!$L$48,"Bad","Good")</f>
        <v>Bad</v>
      </c>
    </row>
    <row r="62" spans="1:6" x14ac:dyDescent="0.3">
      <c r="A62" s="2">
        <v>2</v>
      </c>
      <c r="B62" s="2">
        <v>9.1</v>
      </c>
      <c r="C62" s="5">
        <v>57</v>
      </c>
      <c r="D62" s="2" t="s">
        <v>5</v>
      </c>
      <c r="E62" s="5">
        <f t="shared" si="0"/>
        <v>4.7938066051066333</v>
      </c>
      <c r="F62" s="5" t="str">
        <f>IF(E62&gt;=perhitungan!$L$48,"Bad","Good")</f>
        <v>Bad</v>
      </c>
    </row>
    <row r="63" spans="1:6" x14ac:dyDescent="0.3">
      <c r="A63" s="2">
        <v>2</v>
      </c>
      <c r="B63" s="2">
        <v>11.8</v>
      </c>
      <c r="C63" s="5">
        <v>47</v>
      </c>
      <c r="D63" s="2" t="s">
        <v>5</v>
      </c>
      <c r="E63" s="5">
        <f t="shared" si="0"/>
        <v>5.3794853253783357</v>
      </c>
      <c r="F63" s="5" t="str">
        <f>IF(E63&gt;=perhitungan!$L$48,"Bad","Good")</f>
        <v>Bad</v>
      </c>
    </row>
    <row r="64" spans="1:6" x14ac:dyDescent="0.3">
      <c r="A64" s="2">
        <v>1</v>
      </c>
      <c r="B64" s="2">
        <v>11.9</v>
      </c>
      <c r="C64" s="5">
        <v>43</v>
      </c>
      <c r="D64" s="2" t="s">
        <v>5</v>
      </c>
      <c r="E64" s="5">
        <f t="shared" si="0"/>
        <v>5.1914136403010964</v>
      </c>
      <c r="F64" s="5" t="str">
        <f>IF(E64&gt;=perhitungan!$L$48,"Bad","Good")</f>
        <v>Bad</v>
      </c>
    </row>
    <row r="65" spans="1:6" x14ac:dyDescent="0.3">
      <c r="A65" s="2">
        <v>1</v>
      </c>
      <c r="B65" s="2">
        <v>9.4</v>
      </c>
      <c r="C65" s="5">
        <v>60</v>
      </c>
      <c r="D65" s="2" t="s">
        <v>5</v>
      </c>
      <c r="E65" s="5">
        <f t="shared" si="0"/>
        <v>4.8717852013408676</v>
      </c>
      <c r="F65" s="5" t="str">
        <f>IF(E65&gt;=perhitungan!$L$48,"Bad","Good")</f>
        <v>Bad</v>
      </c>
    </row>
    <row r="66" spans="1:6" x14ac:dyDescent="0.3">
      <c r="A66" s="2">
        <v>1</v>
      </c>
      <c r="B66" s="2">
        <v>10.7</v>
      </c>
      <c r="C66" s="5">
        <v>41</v>
      </c>
      <c r="D66" s="2" t="s">
        <v>5</v>
      </c>
      <c r="E66" s="5">
        <f t="shared" si="0"/>
        <v>4.7457339916411314</v>
      </c>
      <c r="F66" s="5" t="str">
        <f>IF(E66&gt;=perhitungan!$L$48,"Bad","Good")</f>
        <v>Bad</v>
      </c>
    </row>
    <row r="67" spans="1:6" x14ac:dyDescent="0.3">
      <c r="A67" s="2">
        <v>4</v>
      </c>
      <c r="B67" s="2">
        <v>15.1</v>
      </c>
      <c r="C67" s="5">
        <v>58</v>
      </c>
      <c r="D67" s="2" t="s">
        <v>5</v>
      </c>
      <c r="E67" s="5">
        <f t="shared" ref="E67:E101" si="1">($J$5*A67)-($K$5*B67)-($L$5*C67)</f>
        <v>6.9740252763470814</v>
      </c>
      <c r="F67" s="5" t="str">
        <f>IF(E67&gt;=perhitungan!$L$48,"Bad","Good")</f>
        <v>Bad</v>
      </c>
    </row>
    <row r="68" spans="1:6" x14ac:dyDescent="0.3">
      <c r="A68" s="2">
        <v>3</v>
      </c>
      <c r="B68" s="2">
        <v>15.9</v>
      </c>
      <c r="C68" s="5">
        <v>61</v>
      </c>
      <c r="D68" s="2" t="s">
        <v>5</v>
      </c>
      <c r="E68" s="5">
        <f t="shared" si="1"/>
        <v>7.2137324337061148</v>
      </c>
      <c r="F68" s="5" t="str">
        <f>IF(E68&gt;=perhitungan!$L$48,"Bad","Good")</f>
        <v>Bad</v>
      </c>
    </row>
    <row r="69" spans="1:6" x14ac:dyDescent="0.3">
      <c r="A69" s="2">
        <v>2</v>
      </c>
      <c r="B69" s="2">
        <v>13.7</v>
      </c>
      <c r="C69" s="5">
        <v>58</v>
      </c>
      <c r="D69" s="2" t="s">
        <v>5</v>
      </c>
      <c r="E69" s="5">
        <f t="shared" si="1"/>
        <v>6.3104749184350162</v>
      </c>
      <c r="F69" s="5" t="str">
        <f>IF(E69&gt;=perhitungan!$L$48,"Bad","Good")</f>
        <v>Bad</v>
      </c>
    </row>
    <row r="70" spans="1:6" x14ac:dyDescent="0.3">
      <c r="A70" s="2">
        <v>3</v>
      </c>
      <c r="B70" s="2">
        <v>12.6</v>
      </c>
      <c r="C70" s="5">
        <v>52</v>
      </c>
      <c r="D70" s="2" t="s">
        <v>5</v>
      </c>
      <c r="E70" s="5">
        <f t="shared" si="1"/>
        <v>5.8874339714604371</v>
      </c>
      <c r="F70" s="5" t="str">
        <f>IF(E70&gt;=perhitungan!$L$48,"Bad","Good")</f>
        <v>Bad</v>
      </c>
    </row>
    <row r="71" spans="1:6" x14ac:dyDescent="0.3">
      <c r="A71" s="2">
        <v>1</v>
      </c>
      <c r="B71" s="2">
        <v>12.1</v>
      </c>
      <c r="C71" s="5">
        <v>44</v>
      </c>
      <c r="D71" s="2" t="s">
        <v>5</v>
      </c>
      <c r="E71" s="5">
        <f t="shared" si="1"/>
        <v>5.2848706157312382</v>
      </c>
      <c r="F71" s="5" t="str">
        <f>IF(E71&gt;=perhitungan!$L$48,"Bad","Good")</f>
        <v>Bad</v>
      </c>
    </row>
    <row r="72" spans="1:6" x14ac:dyDescent="0.3">
      <c r="A72" s="2">
        <v>2</v>
      </c>
      <c r="B72" s="2">
        <v>11.3</v>
      </c>
      <c r="C72" s="5">
        <v>41</v>
      </c>
      <c r="D72" s="2" t="s">
        <v>5</v>
      </c>
      <c r="E72" s="5">
        <f t="shared" si="1"/>
        <v>5.0451634583722047</v>
      </c>
      <c r="F72" s="5" t="str">
        <f>IF(E72&gt;=perhitungan!$L$48,"Bad","Good")</f>
        <v>Bad</v>
      </c>
    </row>
    <row r="73" spans="1:6" x14ac:dyDescent="0.3">
      <c r="A73" s="2">
        <v>0</v>
      </c>
      <c r="B73" s="2">
        <v>12.5</v>
      </c>
      <c r="C73" s="5">
        <v>54</v>
      </c>
      <c r="D73" s="2" t="s">
        <v>5</v>
      </c>
      <c r="E73" s="5">
        <f t="shared" si="1"/>
        <v>5.596553781051985</v>
      </c>
      <c r="F73" s="5" t="str">
        <f>IF(E73&gt;=perhitungan!$L$48,"Bad","Good")</f>
        <v>Bad</v>
      </c>
    </row>
    <row r="74" spans="1:6" x14ac:dyDescent="0.3">
      <c r="A74" s="2">
        <v>2</v>
      </c>
      <c r="B74" s="2">
        <v>11.3</v>
      </c>
      <c r="C74" s="5">
        <v>41</v>
      </c>
      <c r="D74" s="2" t="s">
        <v>5</v>
      </c>
      <c r="E74" s="5">
        <f t="shared" si="1"/>
        <v>5.0451634583722047</v>
      </c>
      <c r="F74" s="5" t="str">
        <f>IF(E74&gt;=perhitungan!$L$48,"Bad","Good")</f>
        <v>Bad</v>
      </c>
    </row>
    <row r="75" spans="1:6" x14ac:dyDescent="0.3">
      <c r="A75" s="2">
        <v>1</v>
      </c>
      <c r="B75" s="2">
        <v>10.5</v>
      </c>
      <c r="C75" s="5">
        <v>31</v>
      </c>
      <c r="D75" s="2" t="s">
        <v>5</v>
      </c>
      <c r="E75" s="5">
        <f t="shared" si="1"/>
        <v>4.3933870573889928</v>
      </c>
      <c r="F75" s="5" t="str">
        <f>IF(E75&gt;=perhitungan!$L$48,"Bad","Good")</f>
        <v>Bad</v>
      </c>
    </row>
    <row r="76" spans="1:6" x14ac:dyDescent="0.3">
      <c r="A76" s="2">
        <v>2</v>
      </c>
      <c r="B76" s="2">
        <v>9.8000000000000007</v>
      </c>
      <c r="C76" s="5">
        <v>31</v>
      </c>
      <c r="D76" s="2" t="s">
        <v>5</v>
      </c>
      <c r="E76" s="5">
        <f t="shared" si="1"/>
        <v>4.2723222651955854</v>
      </c>
      <c r="F76" s="5" t="str">
        <f>IF(E76&gt;=perhitungan!$L$48,"Bad","Good")</f>
        <v>Bad</v>
      </c>
    </row>
    <row r="77" spans="1:6" x14ac:dyDescent="0.3">
      <c r="A77" s="2">
        <v>0</v>
      </c>
      <c r="B77" s="2">
        <v>10.1</v>
      </c>
      <c r="C77" s="5">
        <v>40</v>
      </c>
      <c r="D77" s="2" t="s">
        <v>5</v>
      </c>
      <c r="E77" s="5">
        <f t="shared" si="1"/>
        <v>4.4175389739298376</v>
      </c>
      <c r="F77" s="5" t="str">
        <f>IF(E77&gt;=perhitungan!$L$48,"Bad","Good")</f>
        <v>Bad</v>
      </c>
    </row>
    <row r="78" spans="1:6" x14ac:dyDescent="0.3">
      <c r="A78" s="2">
        <v>4</v>
      </c>
      <c r="B78" s="2">
        <v>4.8</v>
      </c>
      <c r="C78" s="5">
        <v>61</v>
      </c>
      <c r="D78" s="2" t="s">
        <v>5</v>
      </c>
      <c r="E78" s="5">
        <f t="shared" si="1"/>
        <v>3.7287135701168639</v>
      </c>
      <c r="F78" s="5" t="str">
        <f>IF(E78&gt;=perhitungan!$L$48,"Bad","Good")</f>
        <v>Bad</v>
      </c>
    </row>
    <row r="79" spans="1:6" x14ac:dyDescent="0.3">
      <c r="A79" s="2">
        <v>1</v>
      </c>
      <c r="B79" s="2">
        <v>12.9</v>
      </c>
      <c r="C79" s="5">
        <v>48</v>
      </c>
      <c r="D79" s="2" t="s">
        <v>5</v>
      </c>
      <c r="E79" s="5">
        <f t="shared" si="1"/>
        <v>5.658698517451807</v>
      </c>
      <c r="F79" s="5" t="str">
        <f>IF(E79&gt;=perhitungan!$L$48,"Bad","Good")</f>
        <v>Bad</v>
      </c>
    </row>
    <row r="80" spans="1:6" x14ac:dyDescent="0.3">
      <c r="A80" s="2">
        <v>2</v>
      </c>
      <c r="B80" s="2">
        <v>13.1</v>
      </c>
      <c r="C80" s="5">
        <v>58</v>
      </c>
      <c r="D80" s="2" t="s">
        <v>5</v>
      </c>
      <c r="E80" s="5">
        <f t="shared" si="1"/>
        <v>6.1164006450852559</v>
      </c>
      <c r="F80" s="5" t="str">
        <f>IF(E80&gt;=perhitungan!$L$48,"Bad","Good")</f>
        <v>Bad</v>
      </c>
    </row>
    <row r="81" spans="1:6" x14ac:dyDescent="0.3">
      <c r="A81" s="2">
        <v>1</v>
      </c>
      <c r="B81" s="2">
        <v>7.9</v>
      </c>
      <c r="C81" s="5">
        <v>55</v>
      </c>
      <c r="D81" s="2" t="s">
        <v>5</v>
      </c>
      <c r="E81" s="5">
        <f t="shared" si="1"/>
        <v>4.2427717630653579</v>
      </c>
      <c r="F81" s="5" t="str">
        <f>IF(E81&gt;=perhitungan!$L$48,"Bad","Good")</f>
        <v>Bad</v>
      </c>
    </row>
    <row r="82" spans="1:6" x14ac:dyDescent="0.3">
      <c r="A82" s="2">
        <v>1</v>
      </c>
      <c r="B82" s="2">
        <v>6.5</v>
      </c>
      <c r="C82" s="5">
        <v>52</v>
      </c>
      <c r="D82" s="2" t="s">
        <v>5</v>
      </c>
      <c r="E82" s="5">
        <f t="shared" si="1"/>
        <v>3.7036351389752511</v>
      </c>
      <c r="F82" s="5" t="str">
        <f>IF(E82&gt;=perhitungan!$L$48,"Bad","Good")</f>
        <v>Bad</v>
      </c>
    </row>
    <row r="83" spans="1:6" x14ac:dyDescent="0.3">
      <c r="A83" s="2">
        <v>4</v>
      </c>
      <c r="B83" s="2">
        <v>13.2</v>
      </c>
      <c r="C83" s="5">
        <v>34</v>
      </c>
      <c r="D83" s="2" t="s">
        <v>5</v>
      </c>
      <c r="E83" s="5">
        <f t="shared" si="1"/>
        <v>5.669083520547515</v>
      </c>
      <c r="F83" s="5" t="str">
        <f>IF(E83&gt;=perhitungan!$L$48,"Bad","Good")</f>
        <v>Bad</v>
      </c>
    </row>
    <row r="84" spans="1:6" x14ac:dyDescent="0.3">
      <c r="A84" s="2">
        <v>2</v>
      </c>
      <c r="B84" s="2">
        <v>6.5</v>
      </c>
      <c r="C84" s="5">
        <v>39</v>
      </c>
      <c r="D84" s="2" t="s">
        <v>5</v>
      </c>
      <c r="E84" s="5">
        <f t="shared" si="1"/>
        <v>3.4350381696136791</v>
      </c>
      <c r="F84" s="5" t="str">
        <f>IF(E84&gt;=perhitungan!$L$48,"Bad","Good")</f>
        <v>Bad</v>
      </c>
    </row>
    <row r="85" spans="1:6" x14ac:dyDescent="0.3">
      <c r="A85" s="2">
        <v>0</v>
      </c>
      <c r="B85" s="2">
        <v>4.7</v>
      </c>
      <c r="C85" s="5">
        <v>38</v>
      </c>
      <c r="D85" s="2" t="s">
        <v>5</v>
      </c>
      <c r="E85" s="5">
        <f t="shared" si="1"/>
        <v>2.6133394118215527</v>
      </c>
      <c r="F85" s="5" t="str">
        <f>IF(E85&gt;=perhitungan!$L$48,"Bad","Good")</f>
        <v>Bad</v>
      </c>
    </row>
    <row r="86" spans="1:6" x14ac:dyDescent="0.3">
      <c r="A86" s="2">
        <v>0</v>
      </c>
      <c r="B86" s="2">
        <v>8</v>
      </c>
      <c r="C86" s="5">
        <v>47</v>
      </c>
      <c r="D86" s="2" t="s">
        <v>5</v>
      </c>
      <c r="E86" s="5">
        <f t="shared" si="1"/>
        <v>3.9396378740672304</v>
      </c>
      <c r="F86" s="5" t="str">
        <f>IF(E86&gt;=perhitungan!$L$48,"Bad","Good")</f>
        <v>Bad</v>
      </c>
    </row>
    <row r="87" spans="1:6" x14ac:dyDescent="0.3">
      <c r="A87" s="2">
        <v>3</v>
      </c>
      <c r="B87" s="2">
        <v>13.9</v>
      </c>
      <c r="C87" s="5">
        <v>55</v>
      </c>
      <c r="D87" s="2" t="s">
        <v>5</v>
      </c>
      <c r="E87" s="5">
        <f t="shared" si="1"/>
        <v>6.3942248833255828</v>
      </c>
      <c r="F87" s="5" t="str">
        <f>IF(E87&gt;=perhitungan!$L$48,"Bad","Good")</f>
        <v>Bad</v>
      </c>
    </row>
    <row r="88" spans="1:6" x14ac:dyDescent="0.3">
      <c r="A88" s="2">
        <v>0</v>
      </c>
      <c r="B88" s="2">
        <v>11.4</v>
      </c>
      <c r="C88" s="5">
        <v>59</v>
      </c>
      <c r="D88" s="2" t="s">
        <v>5</v>
      </c>
      <c r="E88" s="5">
        <f t="shared" si="1"/>
        <v>5.3845787014785342</v>
      </c>
      <c r="F88" s="5" t="str">
        <f>IF(E88&gt;=perhitungan!$L$48,"Bad","Good")</f>
        <v>Bad</v>
      </c>
    </row>
    <row r="89" spans="1:6" x14ac:dyDescent="0.3">
      <c r="A89" s="2">
        <v>2</v>
      </c>
      <c r="B89" s="2">
        <v>9.3000000000000007</v>
      </c>
      <c r="C89" s="5">
        <v>60</v>
      </c>
      <c r="D89" s="2" t="s">
        <v>5</v>
      </c>
      <c r="E89" s="5">
        <f t="shared" si="1"/>
        <v>4.9447946824972195</v>
      </c>
      <c r="F89" s="5" t="str">
        <f>IF(E89&gt;=perhitungan!$L$48,"Bad","Good")</f>
        <v>Bad</v>
      </c>
    </row>
    <row r="90" spans="1:6" x14ac:dyDescent="0.3">
      <c r="A90" s="2">
        <v>1</v>
      </c>
      <c r="B90" s="2">
        <v>16.3</v>
      </c>
      <c r="C90" s="5">
        <v>35</v>
      </c>
      <c r="D90" s="2" t="s">
        <v>5</v>
      </c>
      <c r="E90" s="5">
        <f t="shared" si="1"/>
        <v>6.384500570357563</v>
      </c>
      <c r="F90" s="5" t="str">
        <f>IF(E90&gt;=perhitungan!$L$48,"Bad","Good")</f>
        <v>Bad</v>
      </c>
    </row>
    <row r="91" spans="1:6" x14ac:dyDescent="0.3">
      <c r="A91" s="2">
        <v>4</v>
      </c>
      <c r="B91" s="2">
        <v>11.3</v>
      </c>
      <c r="C91" s="5">
        <v>38</v>
      </c>
      <c r="D91" s="2" t="s">
        <v>5</v>
      </c>
      <c r="E91" s="5">
        <f t="shared" si="1"/>
        <v>5.1695771921941631</v>
      </c>
      <c r="F91" s="5" t="str">
        <f>IF(E91&gt;=perhitungan!$L$48,"Bad","Good")</f>
        <v>Bad</v>
      </c>
    </row>
    <row r="92" spans="1:6" x14ac:dyDescent="0.3">
      <c r="A92" s="2">
        <v>4</v>
      </c>
      <c r="B92" s="2">
        <v>7.9</v>
      </c>
      <c r="C92" s="5">
        <v>46</v>
      </c>
      <c r="D92" s="2" t="s">
        <v>5</v>
      </c>
      <c r="E92" s="5">
        <f t="shared" si="1"/>
        <v>4.2999473843872966</v>
      </c>
      <c r="F92" s="5" t="str">
        <f>IF(E92&gt;=perhitungan!$L$48,"Bad","Good")</f>
        <v>Bad</v>
      </c>
    </row>
    <row r="93" spans="1:6" x14ac:dyDescent="0.3">
      <c r="A93" s="2">
        <v>1</v>
      </c>
      <c r="B93" s="2">
        <v>14</v>
      </c>
      <c r="C93" s="5">
        <v>40</v>
      </c>
      <c r="D93" s="2" t="s">
        <v>5</v>
      </c>
      <c r="E93" s="5">
        <f t="shared" si="1"/>
        <v>5.7843769440845918</v>
      </c>
      <c r="F93" s="5" t="str">
        <f>IF(E93&gt;=perhitungan!$L$48,"Bad","Good")</f>
        <v>Bad</v>
      </c>
    </row>
    <row r="94" spans="1:6" x14ac:dyDescent="0.3">
      <c r="A94" s="2">
        <v>1</v>
      </c>
      <c r="B94" s="2">
        <v>28</v>
      </c>
      <c r="C94" s="5">
        <v>57</v>
      </c>
      <c r="D94" s="2" t="s">
        <v>5</v>
      </c>
      <c r="E94" s="5">
        <f t="shared" si="1"/>
        <v>10.801791022242767</v>
      </c>
      <c r="F94" s="5" t="str">
        <f>IF(E94&gt;=perhitungan!$L$48,"Bad","Good")</f>
        <v>Bad</v>
      </c>
    </row>
    <row r="95" spans="1:6" x14ac:dyDescent="0.3">
      <c r="A95" s="2">
        <v>1</v>
      </c>
      <c r="B95" s="2">
        <v>6.5</v>
      </c>
      <c r="C95" s="5">
        <v>41</v>
      </c>
      <c r="D95" s="2" t="s">
        <v>5</v>
      </c>
      <c r="E95" s="5">
        <f t="shared" si="1"/>
        <v>3.3872140781928106</v>
      </c>
      <c r="F95" s="5" t="str">
        <f>IF(E95&gt;=perhitungan!$L$48,"Bad","Good")</f>
        <v>Bad</v>
      </c>
    </row>
    <row r="96" spans="1:6" x14ac:dyDescent="0.3">
      <c r="A96" s="2">
        <v>1</v>
      </c>
      <c r="B96" s="2">
        <v>9.8000000000000007</v>
      </c>
      <c r="C96" s="5">
        <v>42</v>
      </c>
      <c r="D96" s="2" t="s">
        <v>5</v>
      </c>
      <c r="E96" s="5">
        <f t="shared" si="1"/>
        <v>4.4833881325967138</v>
      </c>
      <c r="F96" s="5" t="str">
        <f>IF(E96&gt;=perhitungan!$L$48,"Bad","Good")</f>
        <v>Bad</v>
      </c>
    </row>
    <row r="97" spans="1:6" x14ac:dyDescent="0.3">
      <c r="A97" s="2">
        <v>1</v>
      </c>
      <c r="B97" s="2">
        <v>14.2</v>
      </c>
      <c r="C97" s="5">
        <v>55</v>
      </c>
      <c r="D97" s="2" t="s">
        <v>5</v>
      </c>
      <c r="E97" s="5">
        <f t="shared" si="1"/>
        <v>6.280551633237839</v>
      </c>
      <c r="F97" s="5" t="str">
        <f>IF(E97&gt;=perhitungan!$L$48,"Bad","Good")</f>
        <v>Bad</v>
      </c>
    </row>
    <row r="98" spans="1:6" x14ac:dyDescent="0.3">
      <c r="A98" s="2">
        <v>1</v>
      </c>
      <c r="B98" s="2">
        <v>10.7</v>
      </c>
      <c r="C98" s="5">
        <v>60</v>
      </c>
      <c r="D98" s="2" t="s">
        <v>5</v>
      </c>
      <c r="E98" s="5">
        <f t="shared" si="1"/>
        <v>5.2922794602653473</v>
      </c>
      <c r="F98" s="5" t="str">
        <f>IF(E98&gt;=perhitungan!$L$48,"Bad","Good")</f>
        <v>Bad</v>
      </c>
    </row>
    <row r="99" spans="1:6" x14ac:dyDescent="0.3">
      <c r="A99" s="2">
        <v>3</v>
      </c>
      <c r="B99" s="2">
        <v>10</v>
      </c>
      <c r="C99" s="5">
        <v>59</v>
      </c>
      <c r="D99" s="2" t="s">
        <v>5</v>
      </c>
      <c r="E99" s="5">
        <f t="shared" si="1"/>
        <v>5.2478043104730299</v>
      </c>
      <c r="F99" s="5" t="str">
        <f>IF(E99&gt;=perhitungan!$L$48,"Bad","Good")</f>
        <v>Bad</v>
      </c>
    </row>
    <row r="100" spans="1:6" x14ac:dyDescent="0.3">
      <c r="A100" s="2">
        <v>0</v>
      </c>
      <c r="B100" s="2">
        <v>12</v>
      </c>
      <c r="C100" s="5">
        <v>40</v>
      </c>
      <c r="D100" s="2" t="s">
        <v>5</v>
      </c>
      <c r="E100" s="5">
        <f t="shared" si="1"/>
        <v>5.0321075062040785</v>
      </c>
      <c r="F100" s="5" t="str">
        <f>IF(E100&gt;=perhitungan!$L$48,"Bad","Good")</f>
        <v>Bad</v>
      </c>
    </row>
    <row r="101" spans="1:6" x14ac:dyDescent="0.3">
      <c r="A101" s="2">
        <v>1</v>
      </c>
      <c r="B101" s="2">
        <v>23</v>
      </c>
      <c r="C101" s="5">
        <v>44</v>
      </c>
      <c r="D101" s="2" t="s">
        <v>5</v>
      </c>
      <c r="E101" s="5">
        <f t="shared" si="1"/>
        <v>8.8105532482518818</v>
      </c>
      <c r="F101" s="5" t="str">
        <f>IF(E101&gt;=perhitungan!$L$48,"Bad","Good")</f>
        <v>Bad</v>
      </c>
    </row>
  </sheetData>
  <mergeCells count="6">
    <mergeCell ref="I10:I11"/>
    <mergeCell ref="K8:L8"/>
    <mergeCell ref="I8:J9"/>
    <mergeCell ref="I2:L2"/>
    <mergeCell ref="I3:L3"/>
    <mergeCell ref="I4:L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perhitungan</vt:lpstr>
      <vt:lpstr>hasil dan evaluasi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Rizki</dc:creator>
  <cp:lastModifiedBy>Muthi'ah Iffa Karimah</cp:lastModifiedBy>
  <dcterms:created xsi:type="dcterms:W3CDTF">2025-11-13T05:27:56Z</dcterms:created>
  <dcterms:modified xsi:type="dcterms:W3CDTF">2025-11-17T16:47:11Z</dcterms:modified>
</cp:coreProperties>
</file>